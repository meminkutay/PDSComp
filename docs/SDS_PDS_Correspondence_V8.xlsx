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utay_msu_edu/Documents/_Docs/_IdeaProjects/pdsdataextractor2/docs/"/>
    </mc:Choice>
  </mc:AlternateContent>
  <xr:revisionPtr revIDLastSave="63" documentId="8_{4C817B37-2433-40DD-BB6F-B3E96F9C97EA}" xr6:coauthVersionLast="47" xr6:coauthVersionMax="47" xr10:uidLastSave="{5947F724-5D3E-434E-8499-F3B303357191}"/>
  <bookViews>
    <workbookView xWindow="6360" yWindow="880" windowWidth="43120" windowHeight="23600" activeTab="4" xr2:uid="{12E50D68-9A99-F54D-9074-5FBBEBE2BE7C}"/>
  </bookViews>
  <sheets>
    <sheet name="Version7" sheetId="7" r:id="rId1"/>
    <sheet name="Version7 (2)" sheetId="9" r:id="rId2"/>
    <sheet name="Flexible" sheetId="10" r:id="rId3"/>
    <sheet name="Rigid" sheetId="11" r:id="rId4"/>
    <sheet name="PD-AD-HMA" sheetId="2" r:id="rId5"/>
    <sheet name="PD-AD-RIGID" sheetId="5" r:id="rId6"/>
    <sheet name="final-summary" sheetId="8" r:id="rId7"/>
  </sheets>
  <definedNames>
    <definedName name="_xlnm._FilterDatabase" localSheetId="2" hidden="1">Flexible!$D$1:$J$43</definedName>
    <definedName name="_xlnm._FilterDatabase" localSheetId="3" hidden="1">Rigid!$E$1:$J$33</definedName>
    <definedName name="_xlnm._FilterDatabase" localSheetId="1" hidden="1">'Version7 (2)'!$G$1:$R$87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1" l="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F43" i="10"/>
  <c r="F42" i="10"/>
  <c r="H41" i="10"/>
  <c r="F41" i="10" s="1"/>
  <c r="H40" i="10"/>
  <c r="F40" i="10"/>
  <c r="H39" i="10"/>
  <c r="F39" i="10" s="1"/>
  <c r="H38" i="10"/>
  <c r="F38" i="10"/>
  <c r="H37" i="10"/>
  <c r="F37" i="10"/>
  <c r="H36" i="10"/>
  <c r="F36" i="10" s="1"/>
  <c r="H35" i="10"/>
  <c r="F35" i="10"/>
  <c r="H34" i="10"/>
  <c r="F34" i="10"/>
  <c r="H33" i="10"/>
  <c r="F33" i="10" s="1"/>
  <c r="H32" i="10"/>
  <c r="F32" i="10"/>
  <c r="H31" i="10"/>
  <c r="F31" i="10" s="1"/>
  <c r="H30" i="10"/>
  <c r="F30" i="10"/>
  <c r="H29" i="10"/>
  <c r="F29" i="10"/>
  <c r="H28" i="10"/>
  <c r="F28" i="10" s="1"/>
  <c r="H27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M87" i="9"/>
  <c r="I87" i="9"/>
  <c r="M86" i="9"/>
  <c r="I86" i="9"/>
  <c r="M85" i="9"/>
  <c r="I85" i="9"/>
  <c r="M84" i="9"/>
  <c r="I84" i="9"/>
  <c r="M83" i="9"/>
  <c r="I83" i="9"/>
  <c r="M82" i="9"/>
  <c r="I82" i="9"/>
  <c r="M81" i="9"/>
  <c r="I81" i="9"/>
  <c r="M80" i="9"/>
  <c r="I80" i="9"/>
  <c r="M79" i="9"/>
  <c r="I79" i="9"/>
  <c r="M78" i="9"/>
  <c r="I78" i="9"/>
  <c r="M77" i="9"/>
  <c r="I77" i="9"/>
  <c r="M76" i="9"/>
  <c r="I76" i="9"/>
  <c r="M75" i="9"/>
  <c r="I75" i="9"/>
  <c r="M74" i="9"/>
  <c r="I74" i="9"/>
  <c r="M73" i="9"/>
  <c r="I73" i="9"/>
  <c r="M72" i="9"/>
  <c r="I72" i="9"/>
  <c r="M71" i="9"/>
  <c r="I71" i="9"/>
  <c r="M70" i="9"/>
  <c r="I70" i="9"/>
  <c r="M69" i="9"/>
  <c r="I69" i="9"/>
  <c r="M68" i="9"/>
  <c r="I68" i="9"/>
  <c r="M67" i="9"/>
  <c r="I67" i="9"/>
  <c r="M66" i="9"/>
  <c r="I66" i="9"/>
  <c r="M65" i="9"/>
  <c r="I65" i="9"/>
  <c r="M64" i="9"/>
  <c r="I64" i="9"/>
  <c r="M63" i="9"/>
  <c r="I63" i="9"/>
  <c r="M62" i="9"/>
  <c r="I62" i="9"/>
  <c r="M61" i="9"/>
  <c r="I61" i="9"/>
  <c r="M60" i="9"/>
  <c r="I60" i="9"/>
  <c r="M59" i="9"/>
  <c r="I59" i="9"/>
  <c r="M58" i="9"/>
  <c r="I58" i="9"/>
  <c r="M57" i="9"/>
  <c r="I57" i="9"/>
  <c r="M56" i="9"/>
  <c r="I56" i="9"/>
  <c r="M55" i="9"/>
  <c r="I55" i="9"/>
  <c r="M54" i="9"/>
  <c r="I54" i="9"/>
  <c r="M53" i="9"/>
  <c r="I53" i="9"/>
  <c r="M52" i="9"/>
  <c r="K52" i="9"/>
  <c r="I52" i="9" s="1"/>
  <c r="M51" i="9"/>
  <c r="K51" i="9"/>
  <c r="I51" i="9"/>
  <c r="M50" i="9"/>
  <c r="K50" i="9"/>
  <c r="I50" i="9"/>
  <c r="M49" i="9"/>
  <c r="K49" i="9"/>
  <c r="I49" i="9" s="1"/>
  <c r="M48" i="9"/>
  <c r="K48" i="9"/>
  <c r="I48" i="9"/>
  <c r="M47" i="9"/>
  <c r="K47" i="9"/>
  <c r="I47" i="9"/>
  <c r="M46" i="9"/>
  <c r="K46" i="9"/>
  <c r="I46" i="9" s="1"/>
  <c r="M45" i="9"/>
  <c r="K45" i="9"/>
  <c r="I45" i="9"/>
  <c r="M44" i="9"/>
  <c r="K44" i="9"/>
  <c r="I44" i="9" s="1"/>
  <c r="M43" i="9"/>
  <c r="K43" i="9"/>
  <c r="I43" i="9" s="1"/>
  <c r="M42" i="9"/>
  <c r="K42" i="9"/>
  <c r="I42" i="9"/>
  <c r="M41" i="9"/>
  <c r="K41" i="9"/>
  <c r="I41" i="9" s="1"/>
  <c r="M40" i="9"/>
  <c r="K40" i="9"/>
  <c r="I40" i="9" s="1"/>
  <c r="M39" i="9"/>
  <c r="K39" i="9"/>
  <c r="I39" i="9" s="1"/>
  <c r="M38" i="9"/>
  <c r="K38" i="9"/>
  <c r="I38" i="9"/>
  <c r="M37" i="9"/>
  <c r="I37" i="9"/>
  <c r="M36" i="9"/>
  <c r="I36" i="9"/>
  <c r="M35" i="9"/>
  <c r="I35" i="9"/>
  <c r="M34" i="9"/>
  <c r="I34" i="9"/>
  <c r="M33" i="9"/>
  <c r="I33" i="9"/>
  <c r="M32" i="9"/>
  <c r="I32" i="9"/>
  <c r="M31" i="9"/>
  <c r="I31" i="9"/>
  <c r="M30" i="9"/>
  <c r="I30" i="9"/>
  <c r="M29" i="9"/>
  <c r="I29" i="9"/>
  <c r="M28" i="9"/>
  <c r="I28" i="9"/>
  <c r="M27" i="9"/>
  <c r="I27" i="9"/>
  <c r="M26" i="9"/>
  <c r="I26" i="9"/>
  <c r="M25" i="9"/>
  <c r="I25" i="9"/>
  <c r="M24" i="9"/>
  <c r="I24" i="9"/>
  <c r="M23" i="9"/>
  <c r="I23" i="9"/>
  <c r="M22" i="9"/>
  <c r="I22" i="9"/>
  <c r="M21" i="9"/>
  <c r="I21" i="9"/>
  <c r="M20" i="9"/>
  <c r="I20" i="9"/>
  <c r="M19" i="9"/>
  <c r="I19" i="9"/>
  <c r="M18" i="9"/>
  <c r="I18" i="9"/>
  <c r="M17" i="9"/>
  <c r="I17" i="9"/>
  <c r="M16" i="9"/>
  <c r="I16" i="9"/>
  <c r="M15" i="9"/>
  <c r="I15" i="9"/>
  <c r="M14" i="9"/>
  <c r="I14" i="9"/>
  <c r="M13" i="9"/>
  <c r="I13" i="9"/>
  <c r="M12" i="9"/>
  <c r="I12" i="9"/>
  <c r="M11" i="9"/>
  <c r="I11" i="9"/>
  <c r="M10" i="9"/>
  <c r="I10" i="9"/>
  <c r="M9" i="9"/>
  <c r="I9" i="9"/>
  <c r="M8" i="9"/>
  <c r="I8" i="9"/>
  <c r="M7" i="9"/>
  <c r="I7" i="9"/>
  <c r="M6" i="9"/>
  <c r="I6" i="9"/>
  <c r="M5" i="9"/>
  <c r="I5" i="9"/>
  <c r="M4" i="9"/>
  <c r="I4" i="9"/>
  <c r="M3" i="9"/>
  <c r="I3" i="9"/>
  <c r="M2" i="9"/>
  <c r="I2" i="9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G87" i="7"/>
  <c r="C87" i="7"/>
  <c r="G86" i="7"/>
  <c r="C86" i="7"/>
  <c r="G85" i="7"/>
  <c r="C85" i="7"/>
  <c r="G84" i="7"/>
  <c r="C84" i="7"/>
  <c r="G83" i="7"/>
  <c r="C83" i="7"/>
  <c r="G82" i="7"/>
  <c r="C82" i="7"/>
  <c r="G81" i="7"/>
  <c r="C81" i="7"/>
  <c r="G80" i="7"/>
  <c r="C80" i="7"/>
  <c r="G79" i="7"/>
  <c r="C79" i="7"/>
  <c r="G78" i="7"/>
  <c r="C78" i="7"/>
  <c r="G77" i="7"/>
  <c r="C77" i="7"/>
  <c r="G76" i="7"/>
  <c r="C76" i="7"/>
  <c r="G75" i="7"/>
  <c r="C75" i="7"/>
  <c r="G74" i="7"/>
  <c r="C74" i="7"/>
  <c r="G73" i="7"/>
  <c r="C73" i="7"/>
  <c r="G72" i="7"/>
  <c r="C72" i="7"/>
  <c r="G71" i="7"/>
  <c r="C71" i="7"/>
  <c r="G70" i="7"/>
  <c r="C70" i="7"/>
  <c r="G69" i="7"/>
  <c r="C69" i="7"/>
  <c r="G68" i="7"/>
  <c r="C68" i="7"/>
  <c r="G67" i="7"/>
  <c r="C67" i="7"/>
  <c r="G66" i="7"/>
  <c r="C66" i="7"/>
  <c r="G65" i="7"/>
  <c r="C65" i="7"/>
  <c r="G64" i="7"/>
  <c r="C64" i="7"/>
  <c r="G63" i="7"/>
  <c r="C63" i="7"/>
  <c r="G62" i="7"/>
  <c r="C62" i="7"/>
  <c r="G61" i="7"/>
  <c r="C61" i="7"/>
  <c r="G60" i="7"/>
  <c r="C60" i="7"/>
  <c r="G59" i="7"/>
  <c r="C59" i="7"/>
  <c r="G58" i="7"/>
  <c r="C58" i="7"/>
  <c r="G57" i="7"/>
  <c r="C57" i="7"/>
  <c r="G56" i="7"/>
  <c r="C56" i="7"/>
  <c r="G55" i="7"/>
  <c r="C55" i="7"/>
  <c r="G54" i="7"/>
  <c r="C54" i="7"/>
  <c r="G53" i="7"/>
  <c r="C53" i="7"/>
  <c r="G52" i="7"/>
  <c r="E52" i="7"/>
  <c r="C52" i="7" s="1"/>
  <c r="G51" i="7"/>
  <c r="E51" i="7"/>
  <c r="C51" i="7"/>
  <c r="G50" i="7"/>
  <c r="E50" i="7"/>
  <c r="C50" i="7"/>
  <c r="G49" i="7"/>
  <c r="E49" i="7"/>
  <c r="C49" i="7"/>
  <c r="G48" i="7"/>
  <c r="E48" i="7"/>
  <c r="C48" i="7"/>
  <c r="G47" i="7"/>
  <c r="E47" i="7"/>
  <c r="C47" i="7"/>
  <c r="G46" i="7"/>
  <c r="E46" i="7"/>
  <c r="C46" i="7"/>
  <c r="G45" i="7"/>
  <c r="E45" i="7"/>
  <c r="C45" i="7"/>
  <c r="G44" i="7"/>
  <c r="E44" i="7"/>
  <c r="C44" i="7" s="1"/>
  <c r="G43" i="7"/>
  <c r="E43" i="7"/>
  <c r="C43" i="7"/>
  <c r="G42" i="7"/>
  <c r="E42" i="7"/>
  <c r="C42" i="7"/>
  <c r="G41" i="7"/>
  <c r="E41" i="7"/>
  <c r="C41" i="7"/>
  <c r="G40" i="7"/>
  <c r="E40" i="7"/>
  <c r="C40" i="7"/>
  <c r="G39" i="7"/>
  <c r="E39" i="7"/>
  <c r="C39" i="7"/>
  <c r="G38" i="7"/>
  <c r="E38" i="7"/>
  <c r="C38" i="7"/>
  <c r="G37" i="7"/>
  <c r="C37" i="7"/>
  <c r="G36" i="7"/>
  <c r="C36" i="7"/>
  <c r="G35" i="7"/>
  <c r="C35" i="7"/>
  <c r="G34" i="7"/>
  <c r="C34" i="7"/>
  <c r="G33" i="7"/>
  <c r="C33" i="7"/>
  <c r="G32" i="7"/>
  <c r="C32" i="7"/>
  <c r="G31" i="7"/>
  <c r="C31" i="7"/>
  <c r="G30" i="7"/>
  <c r="C30" i="7"/>
  <c r="G29" i="7"/>
  <c r="C29" i="7"/>
  <c r="G28" i="7"/>
  <c r="C28" i="7"/>
  <c r="G27" i="7"/>
  <c r="C27" i="7"/>
  <c r="G26" i="7"/>
  <c r="C26" i="7"/>
  <c r="G25" i="7"/>
  <c r="C25" i="7"/>
  <c r="G24" i="7"/>
  <c r="C24" i="7"/>
  <c r="G23" i="7"/>
  <c r="C23" i="7"/>
  <c r="G22" i="7"/>
  <c r="C22" i="7"/>
  <c r="G21" i="7"/>
  <c r="C21" i="7"/>
  <c r="G20" i="7"/>
  <c r="C20" i="7"/>
  <c r="G19" i="7"/>
  <c r="C19" i="7"/>
  <c r="G18" i="7"/>
  <c r="C18" i="7"/>
  <c r="G17" i="7"/>
  <c r="C17" i="7"/>
  <c r="G16" i="7"/>
  <c r="C16" i="7"/>
  <c r="G15" i="7"/>
  <c r="C15" i="7"/>
  <c r="G14" i="7"/>
  <c r="C14" i="7"/>
  <c r="G13" i="7"/>
  <c r="C13" i="7"/>
  <c r="G12" i="7"/>
  <c r="C12" i="7"/>
  <c r="G11" i="7"/>
  <c r="C11" i="7"/>
  <c r="G10" i="7"/>
  <c r="C10" i="7"/>
  <c r="G9" i="7"/>
  <c r="C9" i="7"/>
  <c r="G8" i="7"/>
  <c r="C8" i="7"/>
  <c r="G7" i="7"/>
  <c r="C7" i="7"/>
  <c r="G6" i="7"/>
  <c r="C6" i="7"/>
  <c r="G5" i="7"/>
  <c r="C5" i="7"/>
  <c r="G4" i="7"/>
  <c r="C4" i="7"/>
  <c r="G3" i="7"/>
  <c r="C3" i="7"/>
  <c r="G2" i="7"/>
  <c r="C2" i="7"/>
</calcChain>
</file>

<file path=xl/sharedStrings.xml><?xml version="1.0" encoding="utf-8"?>
<sst xmlns="http://schemas.openxmlformats.org/spreadsheetml/2006/main" count="2450" uniqueCount="458">
  <si>
    <t>Surface Type</t>
  </si>
  <si>
    <t>Quantity Attribute</t>
  </si>
  <si>
    <t>Coefficient-Asphalt</t>
  </si>
  <si>
    <t>Divider</t>
  </si>
  <si>
    <t>Coefficient-Asphalt-old</t>
  </si>
  <si>
    <t>PDS distress-Asphalt</t>
  </si>
  <si>
    <t>Coefficient-Concrete</t>
  </si>
  <si>
    <t>Coefficient-Concrete-old</t>
  </si>
  <si>
    <t>PDS distress-Concrete</t>
  </si>
  <si>
    <t>Conversion to percentage formula</t>
  </si>
  <si>
    <t>Formula for the code</t>
  </si>
  <si>
    <t>All</t>
  </si>
  <si>
    <t>ACFL_Area</t>
  </si>
  <si>
    <t>Duplicate</t>
  </si>
  <si>
    <t>NA</t>
  </si>
  <si>
    <t>ACFL_Area_Z1</t>
  </si>
  <si>
    <t>ACFL_Area_Z2</t>
  </si>
  <si>
    <t>ACFL_Area_Z3</t>
  </si>
  <si>
    <t>ACFL_Area_Z4</t>
  </si>
  <si>
    <t>ACFL_Area_Z5</t>
  </si>
  <si>
    <t>LCUS_Len_Z1_Low</t>
  </si>
  <si>
    <t>Long_Edge_Crack_L</t>
  </si>
  <si>
    <t>Distress (%)=  (Distress length (ft))/Length of section (ft))×100</t>
  </si>
  <si>
    <t>Y =100 * X / length_sect_ft</t>
  </si>
  <si>
    <t>LCUS_Len_Z1_Mod</t>
  </si>
  <si>
    <t>Long_Edge_Crack_M</t>
  </si>
  <si>
    <t>LCUS_Len_Z1_High</t>
  </si>
  <si>
    <t>Long_Edge_Crack_H</t>
  </si>
  <si>
    <t>LCUS_Len_Z2_Low</t>
  </si>
  <si>
    <t>Long_WP_Crack_L</t>
  </si>
  <si>
    <t>Distress (%)= (Distress length (ft))/Length of section (ft))×100</t>
  </si>
  <si>
    <t>LCUS_Len_Z2_Mod</t>
  </si>
  <si>
    <t>Long_WP_Crack_M</t>
  </si>
  <si>
    <t>LCUS_Len_Z2_High</t>
  </si>
  <si>
    <t>Long_WP_Crack_H</t>
  </si>
  <si>
    <t>LCUS_Len_Z3_Low</t>
  </si>
  <si>
    <t>Long_Center_Crack_L</t>
  </si>
  <si>
    <t>LCUS_Len_Z3_Mod</t>
  </si>
  <si>
    <t>Long_Center_Crack_M</t>
  </si>
  <si>
    <t>LCUS_Len_Z3_High</t>
  </si>
  <si>
    <t>Long_Center_Crack_H</t>
  </si>
  <si>
    <t>LCUS_Len_Z4_Low</t>
  </si>
  <si>
    <t>LCUS_Len_Z4_Mod</t>
  </si>
  <si>
    <t>LCUS_Len_Z4_High</t>
  </si>
  <si>
    <t>LCUS_Len_Z5_Low</t>
  </si>
  <si>
    <t>LCUS_Len_Z5_Mod</t>
  </si>
  <si>
    <t>LCUS_Len_Z5_High</t>
  </si>
  <si>
    <t>LCS_Len_Z1</t>
  </si>
  <si>
    <t>LCS_Len_Z2</t>
  </si>
  <si>
    <t>LCS_Len_Z3</t>
  </si>
  <si>
    <t>LCS_Len_Z4</t>
  </si>
  <si>
    <t>LCS_Len_Z5</t>
  </si>
  <si>
    <t>TCUSFL_Len_Low</t>
  </si>
  <si>
    <t>Trans_Crack_L</t>
  </si>
  <si>
    <t>TransCrack_L</t>
  </si>
  <si>
    <t>Distress (%)=  (Distress length (ft))/(Lane width (ft) * (Length of section (ft))/(TC spacing (ft)))×100</t>
  </si>
  <si>
    <t>Y =100 * X / (lane_width_ft * (length_sect_ft/ TC_spacing_ft))</t>
  </si>
  <si>
    <t>TCUSFL_Len_Mod</t>
  </si>
  <si>
    <t>Trans_Crack_M</t>
  </si>
  <si>
    <t>TransCrack_M</t>
  </si>
  <si>
    <t>TCUSFL_Len_High</t>
  </si>
  <si>
    <t>Trans_Crack_H</t>
  </si>
  <si>
    <t>TransCrack_H</t>
  </si>
  <si>
    <t>TCSFL_Len</t>
  </si>
  <si>
    <t>Patch_Area_Conc</t>
  </si>
  <si>
    <t>Patching</t>
  </si>
  <si>
    <t>Distress (%)=  (Distress area (ft^2 ))/(Lane width (ft) *Length of section (ft) )×100</t>
  </si>
  <si>
    <t>Y =100 * X / (lane_width_ft * length_sect_ft)</t>
  </si>
  <si>
    <t>Patch_Area_Asphalt</t>
  </si>
  <si>
    <t>PH_Area</t>
  </si>
  <si>
    <t>Raveling</t>
  </si>
  <si>
    <t>Delamination</t>
  </si>
  <si>
    <t>PH_Cnt_Low</t>
  </si>
  <si>
    <t>PH_Cnt_Mod</t>
  </si>
  <si>
    <t>PH_Cnt_High</t>
  </si>
  <si>
    <t>Asphalt</t>
  </si>
  <si>
    <t>ALLIG_Area_Z1_Low</t>
  </si>
  <si>
    <t>Distress (%)=  (Distress area (ft^2 ))/(Zone width (ft) *Length of section (ft) )×100</t>
  </si>
  <si>
    <t>Y =100 * X / (zone_width_ft * length_sect_ft)</t>
  </si>
  <si>
    <t>ALLIG_Area_Z1_Mod</t>
  </si>
  <si>
    <t>ALLIG_Area_Z1_High</t>
  </si>
  <si>
    <t>ALLIG_Area_Z2_Low</t>
  </si>
  <si>
    <t>ALLIG_Area_Z2_Mod</t>
  </si>
  <si>
    <t>ALLIG_Area_Z2_High</t>
  </si>
  <si>
    <t>ALLIG_Area_Z3_Low</t>
  </si>
  <si>
    <t>ALLIG_Area_Z3_Mod</t>
  </si>
  <si>
    <t>ALLIG_Area_Z3_High</t>
  </si>
  <si>
    <t>ALLIG_Area_Z4_Low</t>
  </si>
  <si>
    <t>ALLIG_Area_Z4_Mod</t>
  </si>
  <si>
    <t>ALLIG_Area_Z4_High</t>
  </si>
  <si>
    <t>ALLIG_Area_Z5_Low</t>
  </si>
  <si>
    <t>ALLIG_Area_Z5_Mod</t>
  </si>
  <si>
    <t>ALLIG_Area_Z5_High</t>
  </si>
  <si>
    <t>ALLIG_Len_Z1_Low</t>
  </si>
  <si>
    <t>ALLIG_Len_Z1_Mod</t>
  </si>
  <si>
    <t>ALLIG_Len_Z1_High</t>
  </si>
  <si>
    <t>ALLIG_Len_Z2_Low</t>
  </si>
  <si>
    <t>ALLIG_Len_Z2_Mod</t>
  </si>
  <si>
    <t>ALLIG_Len_Z2_High</t>
  </si>
  <si>
    <t>ALLIG_Len_Z3_Low</t>
  </si>
  <si>
    <t>ALLIG_Len_Z3_Mod</t>
  </si>
  <si>
    <t>ALLIG_Len_Z3_High</t>
  </si>
  <si>
    <t>ALLIG_Len_Z4_Low</t>
  </si>
  <si>
    <t>ALLIG_Len_Z4_Mod</t>
  </si>
  <si>
    <t>ALLIG_Len_Z4_High</t>
  </si>
  <si>
    <t>ALLIG_Len_Z5_Low</t>
  </si>
  <si>
    <t>ALLIG_Len_Z5_Mod</t>
  </si>
  <si>
    <t>ALLIG_Len_Z5_High</t>
  </si>
  <si>
    <t>Rav_Area</t>
  </si>
  <si>
    <t>Distress (%)=  (Distress area (ft^2))/(Lane width (ft) *Length of section (ft))×100</t>
  </si>
  <si>
    <t>Bleed_Area</t>
  </si>
  <si>
    <t>Bleeding</t>
  </si>
  <si>
    <t>Concrete</t>
  </si>
  <si>
    <t>TJ_Cnt_None</t>
  </si>
  <si>
    <t>TJ_Cnt_Low</t>
  </si>
  <si>
    <t>Trans_joint_spalling_L</t>
  </si>
  <si>
    <t>Distress(%)=  Distress(count)/(Length of section (ft)/Joint spacing (ft))×100</t>
  </si>
  <si>
    <t>Y =100 * X / (length_sect_ft/joint_spacing_ft)</t>
  </si>
  <si>
    <t>TJ_Cnt_Mod</t>
  </si>
  <si>
    <t>Trans_joint_spalling_M</t>
  </si>
  <si>
    <t>TJ_Cnt_High</t>
  </si>
  <si>
    <t>Trans_joint_spalling_H</t>
  </si>
  <si>
    <t>LJ_Len_Z1_Low</t>
  </si>
  <si>
    <t>Long_joint_spalling_L</t>
  </si>
  <si>
    <t>LJ_Len_Z1_Mod</t>
  </si>
  <si>
    <t>Long_joint_spalling_M</t>
  </si>
  <si>
    <t>LJ_Len_Z1_High</t>
  </si>
  <si>
    <t>Long_joint_spalling_H</t>
  </si>
  <si>
    <t>LJ_Len_Z5_Low</t>
  </si>
  <si>
    <t>LJ_Len_Z5_Mod</t>
  </si>
  <si>
    <t>LJ_Len_Z5_High</t>
  </si>
  <si>
    <t>TJS_Len_Pct</t>
  </si>
  <si>
    <t>LJS_Len_Pct_Z1</t>
  </si>
  <si>
    <t>LJS_Len_Pct_Z5</t>
  </si>
  <si>
    <t>CB_Cnt_Low</t>
  </si>
  <si>
    <t>New Coefficients</t>
  </si>
  <si>
    <t>Distress(%)=  1/4 * Distress(count)/(Length of section (ft)/Joint spacing (ft))×100</t>
  </si>
  <si>
    <t>Y =0.25 * 100. * X/ (length_sect_ft/joint_spacing_ft)</t>
  </si>
  <si>
    <t>CB_Cnt_Mod</t>
  </si>
  <si>
    <t>CB_Cnt_High</t>
  </si>
  <si>
    <t>Punch_Cnt</t>
  </si>
  <si>
    <t>Punch_Area</t>
  </si>
  <si>
    <t>Y =100 * X / (lane_width_ft* length_sect_ft)</t>
  </si>
  <si>
    <t>Alligator Cracking Ratios</t>
  </si>
  <si>
    <t>Sealed/Unsealed</t>
  </si>
  <si>
    <t>SDS Title</t>
  </si>
  <si>
    <t>SDS title for perc</t>
  </si>
  <si>
    <t xml:space="preserve">PD Codes </t>
  </si>
  <si>
    <t>Associated Distresses (AD)</t>
  </si>
  <si>
    <t>Old</t>
  </si>
  <si>
    <t>N/A</t>
  </si>
  <si>
    <t>ALLIG_Perc_Z2_High</t>
  </si>
  <si>
    <t>210, 221, 224, 235, 731, 501</t>
  </si>
  <si>
    <t>(0,0), (3,0), (1, 5), (2, 4), (2, 5)</t>
  </si>
  <si>
    <t>ALLIG_Perc_Z2_Low</t>
  </si>
  <si>
    <t>(0,0), (1,0), (1, 2), (2, 2)</t>
  </si>
  <si>
    <t>ALLIG_Perc_Z2_Mod</t>
  </si>
  <si>
    <t>(0,0), (2,0), (1, 3), (1, 4), (2, 3)</t>
  </si>
  <si>
    <t>ALLIG_Perc_Z4_High</t>
  </si>
  <si>
    <t>220, 222, 234, 730, 501</t>
  </si>
  <si>
    <t>ALLIG_Perc_Z4_Low</t>
  </si>
  <si>
    <t>ALLIG_Perc_Z4_Mod</t>
  </si>
  <si>
    <t>Bleed_Perc</t>
  </si>
  <si>
    <t>406, 501</t>
  </si>
  <si>
    <t xml:space="preserve">(0,0) </t>
  </si>
  <si>
    <t>Sealed</t>
  </si>
  <si>
    <t>LCS_Perc_Z1</t>
  </si>
  <si>
    <t>201,721,501</t>
  </si>
  <si>
    <t>For PD codes 201 and 721 = (0,0), (1,0), (2,0), (3,0), (4,0); For PD code 501 =  (0,0)</t>
  </si>
  <si>
    <t>na</t>
  </si>
  <si>
    <t>LCS_Perc_Z2</t>
  </si>
  <si>
    <t>204, 724, 501</t>
  </si>
  <si>
    <t>(0,0), (1,0), (2,0), (3,0), (4,0)</t>
  </si>
  <si>
    <t>LCS_Perc_Z3</t>
  </si>
  <si>
    <t>202, 218,722,501</t>
  </si>
  <si>
    <t>LCS_Perc_Z4</t>
  </si>
  <si>
    <t>205, 725, 501</t>
  </si>
  <si>
    <t>LCS_Perc_Z5</t>
  </si>
  <si>
    <t>203,237,723,501</t>
  </si>
  <si>
    <t>For PD codes 203 and 723 = (0,0), (1,0), (2,0), (3,0), (4,0); For PD code 501 =  (0,0)</t>
  </si>
  <si>
    <t>Unsealed</t>
  </si>
  <si>
    <t>LCUS_Perc_Z1_High</t>
  </si>
  <si>
    <t>201,236,721,501</t>
  </si>
  <si>
    <t>LCUS_Perc_Z1_Low</t>
  </si>
  <si>
    <t>For PD codes 201 and 721 = (5,0); For PD code 236 = (1,0); For PD code 501 =  (0,0)</t>
  </si>
  <si>
    <t>LCUS_Perc_Z1_Mod</t>
  </si>
  <si>
    <t>For PD codes 201 and 721 = (6,0); For PD code 236 = (2,0); For PD code 501 =  (0,0)</t>
  </si>
  <si>
    <t>LCUS_Perc_Z2_High</t>
  </si>
  <si>
    <t>(0,0), (7,0)</t>
  </si>
  <si>
    <t>LCUS_Perc_Z2_Low</t>
  </si>
  <si>
    <t>(0,0), (5,0)</t>
  </si>
  <si>
    <t>LCUS_Perc_Z2_Mod</t>
  </si>
  <si>
    <t>(0,0), (6,0)</t>
  </si>
  <si>
    <t>LCUS_Perc_Z3_High</t>
  </si>
  <si>
    <t>LCUS_Perc_Z3_Low</t>
  </si>
  <si>
    <t>LCUS_Perc_Z3_Mod</t>
  </si>
  <si>
    <t>LCUS_Perc_Z4_High</t>
  </si>
  <si>
    <t>LCUS_Perc_Z4_Low</t>
  </si>
  <si>
    <t>LCUS_Perc_Z4_Mod</t>
  </si>
  <si>
    <t>LCUS_Perc_Z5_High</t>
  </si>
  <si>
    <t>LCUS_Perc_Z5_Low</t>
  </si>
  <si>
    <t>For PD codes 203 and 723 = (5,0); For PD code 237 = (1,0); For PD code 501 =  (0,0)</t>
  </si>
  <si>
    <t>LCUS_Perc_Z5_Mod</t>
  </si>
  <si>
    <t>For PD codes 203 and 723 = (6,0); For PD code 237 = (2,0); For PD code 501 =  (0,0)</t>
  </si>
  <si>
    <t>Patch_Perc_Asphalt</t>
  </si>
  <si>
    <t>326, 327, 501</t>
  </si>
  <si>
    <t>(0, 0), (1, 1), (1, 2), (1, 3), (1, 4), (1, 5), (2, 1), (2, 2), (2, 3), (2, 4), (2, 5), (3, 1), (3, 2), (3, 3), (3, 4), (3, 5)</t>
  </si>
  <si>
    <t>Rav_Perc</t>
  </si>
  <si>
    <t xml:space="preserve">405, 501 </t>
  </si>
  <si>
    <t>TCSFL_Perc</t>
  </si>
  <si>
    <t>101,103,104,110,114,701,703,704, 501</t>
  </si>
  <si>
    <t>(0,0), (1,1), (2,1), (3,1), (4,1)</t>
  </si>
  <si>
    <t>TCUSFL_Perc_High</t>
  </si>
  <si>
    <t>103,104,110,703,704,501</t>
  </si>
  <si>
    <t>(0,0), (8,2), (8,3), (8,4)</t>
  </si>
  <si>
    <t>TCUSFL_Perc_Low</t>
  </si>
  <si>
    <t>(5,2), (5,3), (5,4), (6,2), (6,3)</t>
  </si>
  <si>
    <t>TCUSFL_Perc_Mod</t>
  </si>
  <si>
    <t>(0,0), (6,4), (7,2), (7,3), (7,4)</t>
  </si>
  <si>
    <t>BlockCracking_perc</t>
  </si>
  <si>
    <t>310, 345, 760, 501</t>
  </si>
  <si>
    <t>(0,0), (1,0), (2,0), (3,0), (4,0), (5,0), (6,0), (7,0), (8,0), (9,0), (10,0)</t>
  </si>
  <si>
    <t>206, 212, 214, 227, 230, 737, 501</t>
  </si>
  <si>
    <t>219, 228, 231, 738, 741, 501</t>
  </si>
  <si>
    <t>207, 213, 215, 229, 232, 740, 742, 501</t>
  </si>
  <si>
    <t>[102,105,107,712,713,112,113,501]</t>
  </si>
  <si>
    <t>(0,0), (5,2), (5,3), (5,4), (5,5), (6,2), (7,2), (8,2)</t>
  </si>
  <si>
    <t>(0,0), (6,3), (6,4), (6,5), (7,3), (8,3)</t>
  </si>
  <si>
    <t>(0,0), (7,4), (7,5), (8,4), (8,5)</t>
  </si>
  <si>
    <t>Patch_Perc_Conc</t>
  </si>
  <si>
    <t>326, 501</t>
  </si>
  <si>
    <t>(0,0)</t>
  </si>
  <si>
    <t>327, 501</t>
  </si>
  <si>
    <t>TJ_Perc_Low</t>
  </si>
  <si>
    <t>106, 706, 501</t>
  </si>
  <si>
    <t>(0,0), (2,2), (2,3), (2,4), (2,5)</t>
  </si>
  <si>
    <t>TJ_Perc_Mod</t>
  </si>
  <si>
    <t>(0,0), (3,2), (3,3), (3,4), (4,2), (5,2)</t>
  </si>
  <si>
    <t>TJ_Perc_High</t>
  </si>
  <si>
    <t>(0,0), (3,5), (4,3), (4,4), (4,5), (5,3), (5,4), (5,5)</t>
  </si>
  <si>
    <t>LJ_Perc_Z1_Low</t>
  </si>
  <si>
    <t>208,  501</t>
  </si>
  <si>
    <t>(0,0), (2,0)</t>
  </si>
  <si>
    <t>LJ_Perc_Z1_Mod</t>
  </si>
  <si>
    <t>(0,0), (3,0)</t>
  </si>
  <si>
    <t>LJ_Perc_Z1_High</t>
  </si>
  <si>
    <t>(0,0), (4,0)</t>
  </si>
  <si>
    <t>LJ_Perc_Z5_Low</t>
  </si>
  <si>
    <t>209, 501</t>
  </si>
  <si>
    <t>LJ_Perc_Z5_Mod</t>
  </si>
  <si>
    <t>LJ_Perc_Z5_High</t>
  </si>
  <si>
    <t>CB_Perc_Low</t>
  </si>
  <si>
    <t>CB_Perc_Mod</t>
  </si>
  <si>
    <t>CB_Perc_High</t>
  </si>
  <si>
    <r>
      <rPr>
        <b/>
        <u/>
        <sz val="12"/>
        <rFont val="Calibri"/>
        <family val="1"/>
      </rPr>
      <t>Surface Type</t>
    </r>
  </si>
  <si>
    <r>
      <rPr>
        <b/>
        <u/>
        <sz val="12"/>
        <rFont val="Calibri"/>
        <family val="1"/>
      </rPr>
      <t>Defect</t>
    </r>
  </si>
  <si>
    <r>
      <rPr>
        <b/>
        <u/>
        <sz val="12"/>
        <rFont val="Calibri"/>
        <family val="1"/>
      </rPr>
      <t>Quantity Attribute</t>
    </r>
  </si>
  <si>
    <r>
      <rPr>
        <b/>
        <u/>
        <sz val="12"/>
        <rFont val="Calibri"/>
        <family val="1"/>
      </rPr>
      <t>Example Value</t>
    </r>
  </si>
  <si>
    <r>
      <rPr>
        <b/>
        <u/>
        <sz val="12"/>
        <rFont val="Calibri"/>
        <family val="1"/>
      </rPr>
      <t>Definition*</t>
    </r>
  </si>
  <si>
    <r>
      <rPr>
        <sz val="12"/>
        <rFont val="Calibri"/>
        <family val="1"/>
      </rPr>
      <t>All</t>
    </r>
  </si>
  <si>
    <t>All Cracks – Unsealed and Sealed</t>
  </si>
  <si>
    <r>
      <rPr>
        <sz val="12"/>
        <rFont val="Calibri"/>
        <family val="1"/>
      </rPr>
      <t>ACFL Area</t>
    </r>
  </si>
  <si>
    <r>
      <rPr>
        <sz val="12"/>
        <rFont val="Calibri"/>
        <family val="1"/>
      </rPr>
      <t>Percentage of full lane area where cracks exist.</t>
    </r>
  </si>
  <si>
    <r>
      <rPr>
        <sz val="12"/>
        <rFont val="Calibri"/>
        <family val="1"/>
      </rPr>
      <t>ACFL Area Z1</t>
    </r>
  </si>
  <si>
    <r>
      <rPr>
        <sz val="12"/>
        <rFont val="Calibri"/>
        <family val="1"/>
      </rPr>
      <t>Portion of the full-lane "ACFL Area" percentage quantity existing in Zone1.</t>
    </r>
  </si>
  <si>
    <r>
      <rPr>
        <sz val="12"/>
        <rFont val="Calibri"/>
        <family val="1"/>
      </rPr>
      <t>ACFL Area Z2</t>
    </r>
  </si>
  <si>
    <r>
      <rPr>
        <sz val="12"/>
        <rFont val="Calibri"/>
        <family val="1"/>
      </rPr>
      <t>Portion of the full-lane "ACFL Area" percentage quantity existing in Zone2.</t>
    </r>
  </si>
  <si>
    <r>
      <rPr>
        <sz val="12"/>
        <rFont val="Calibri"/>
        <family val="1"/>
      </rPr>
      <t>ACFL Area Z3</t>
    </r>
  </si>
  <si>
    <r>
      <rPr>
        <sz val="12"/>
        <rFont val="Calibri"/>
        <family val="1"/>
      </rPr>
      <t>Portion of the full-lane "ACFL Area" percentage quantity existing in Zone3.</t>
    </r>
  </si>
  <si>
    <r>
      <rPr>
        <sz val="12"/>
        <rFont val="Calibri"/>
        <family val="1"/>
      </rPr>
      <t>ACFL Area Z4</t>
    </r>
  </si>
  <si>
    <r>
      <rPr>
        <sz val="12"/>
        <rFont val="Calibri"/>
        <family val="1"/>
      </rPr>
      <t>Portion of the full-lane "ACFL Area" percentage quantity existing in Zone4.</t>
    </r>
  </si>
  <si>
    <r>
      <rPr>
        <sz val="12"/>
        <rFont val="Calibri"/>
        <family val="1"/>
      </rPr>
      <t>ACFL Area Z5</t>
    </r>
  </si>
  <si>
    <r>
      <rPr>
        <sz val="12"/>
        <rFont val="Calibri"/>
        <family val="1"/>
      </rPr>
      <t>Portion of the full-lane "ACFL Area" percentage quantity existing in Zone5.</t>
    </r>
  </si>
  <si>
    <t>Longitudinal Cracks – Unsealed</t>
  </si>
  <si>
    <r>
      <rPr>
        <sz val="12"/>
        <rFont val="Calibri"/>
        <family val="1"/>
      </rPr>
      <t>LCUS Len Z1 Low</t>
    </r>
  </si>
  <si>
    <r>
      <rPr>
        <sz val="12"/>
        <rFont val="Calibri"/>
        <family val="1"/>
      </rPr>
      <t>Total length (feet) of unsealed longitudinal cracking in Zone1, width &lt; 0.25".</t>
    </r>
  </si>
  <si>
    <r>
      <rPr>
        <sz val="12"/>
        <rFont val="Calibri"/>
        <family val="1"/>
      </rPr>
      <t>LCUS Len Z1 Mod</t>
    </r>
  </si>
  <si>
    <r>
      <rPr>
        <sz val="12"/>
        <rFont val="Calibri"/>
        <family val="1"/>
      </rPr>
      <t>Total length (feet) of unsealed longitudinal cracking in Zone1, width  0.25" - 0.50".</t>
    </r>
  </si>
  <si>
    <r>
      <rPr>
        <sz val="12"/>
        <rFont val="Calibri"/>
        <family val="1"/>
      </rPr>
      <t>LCUS Len Z1 High</t>
    </r>
  </si>
  <si>
    <r>
      <rPr>
        <sz val="12"/>
        <rFont val="Calibri"/>
        <family val="1"/>
      </rPr>
      <t>Total length (feet) of unsealed longitudinal cracking in Zone1, width &gt; 0.50".</t>
    </r>
  </si>
  <si>
    <r>
      <rPr>
        <sz val="12"/>
        <rFont val="Calibri"/>
        <family val="1"/>
      </rPr>
      <t>LCUS Len Z2 Low</t>
    </r>
  </si>
  <si>
    <r>
      <rPr>
        <sz val="12"/>
        <rFont val="Calibri"/>
        <family val="1"/>
      </rPr>
      <t>Total length (feet) of unsealed longitudinal cracking in Zone2, width &lt; 0.25".</t>
    </r>
  </si>
  <si>
    <r>
      <rPr>
        <sz val="12"/>
        <rFont val="Calibri"/>
        <family val="1"/>
      </rPr>
      <t>LCUS Len Z2 Mod</t>
    </r>
  </si>
  <si>
    <r>
      <rPr>
        <sz val="12"/>
        <rFont val="Calibri"/>
        <family val="1"/>
      </rPr>
      <t>Total length (feet) of unsealed longitudinal cracking in Zone2, width  0.25" - 0.50".</t>
    </r>
  </si>
  <si>
    <r>
      <rPr>
        <sz val="12"/>
        <rFont val="Calibri"/>
        <family val="1"/>
      </rPr>
      <t>LCUS Len Z2 High</t>
    </r>
  </si>
  <si>
    <r>
      <rPr>
        <sz val="12"/>
        <rFont val="Calibri"/>
        <family val="1"/>
      </rPr>
      <t>Total length (feet) of unsealed longitudinal cracking in Zone2, width &gt; 0.50".</t>
    </r>
  </si>
  <si>
    <r>
      <rPr>
        <sz val="12"/>
        <rFont val="Calibri"/>
        <family val="1"/>
      </rPr>
      <t>LCUS Len Z3 Low</t>
    </r>
  </si>
  <si>
    <r>
      <rPr>
        <sz val="12"/>
        <rFont val="Calibri"/>
        <family val="1"/>
      </rPr>
      <t>Total length (feet) of unsealed longitudinal cracking in Zone3, width &lt; 0.25".</t>
    </r>
  </si>
  <si>
    <r>
      <rPr>
        <sz val="12"/>
        <rFont val="Calibri"/>
        <family val="1"/>
      </rPr>
      <t>LCUS Len Z3 Mod</t>
    </r>
  </si>
  <si>
    <r>
      <rPr>
        <sz val="12"/>
        <rFont val="Calibri"/>
        <family val="1"/>
      </rPr>
      <t>Total length (feet) of unsealed longitudinal cracking in Zone3, width  0.25" - 0.50".</t>
    </r>
  </si>
  <si>
    <r>
      <rPr>
        <sz val="12"/>
        <rFont val="Calibri"/>
        <family val="1"/>
      </rPr>
      <t>LCUS Len Z3 High</t>
    </r>
  </si>
  <si>
    <r>
      <rPr>
        <sz val="12"/>
        <rFont val="Calibri"/>
        <family val="1"/>
      </rPr>
      <t>Total length (feet) of unsealed longitudinal cracking in Zone3, width &gt; 0.50".</t>
    </r>
  </si>
  <si>
    <r>
      <rPr>
        <sz val="12"/>
        <rFont val="Calibri"/>
        <family val="1"/>
      </rPr>
      <t>LCUS Len Z4 Low</t>
    </r>
  </si>
  <si>
    <r>
      <rPr>
        <sz val="12"/>
        <rFont val="Calibri"/>
        <family val="1"/>
      </rPr>
      <t>Total length (feet) of unsealed longitudinal cracking in Zone4, width &lt; 0.25".</t>
    </r>
  </si>
  <si>
    <r>
      <rPr>
        <sz val="12"/>
        <rFont val="Calibri"/>
        <family val="1"/>
      </rPr>
      <t>LCUS Len Z4 Mod</t>
    </r>
  </si>
  <si>
    <r>
      <rPr>
        <sz val="12"/>
        <rFont val="Calibri"/>
        <family val="1"/>
      </rPr>
      <t>Total length (feet) of unsealed longitudinal cracking in Zone4, width  0.25" - 0.50".</t>
    </r>
  </si>
  <si>
    <r>
      <rPr>
        <sz val="12"/>
        <rFont val="Calibri"/>
        <family val="1"/>
      </rPr>
      <t>LCUS Len Z4 High</t>
    </r>
  </si>
  <si>
    <r>
      <rPr>
        <sz val="12"/>
        <rFont val="Calibri"/>
        <family val="1"/>
      </rPr>
      <t>Total length (feet) of unsealed longitudinal cracking in Zone4, width &gt; 0.50".</t>
    </r>
  </si>
  <si>
    <r>
      <rPr>
        <sz val="12"/>
        <rFont val="Calibri"/>
        <family val="1"/>
      </rPr>
      <t>LCUS Len Z5 Low</t>
    </r>
  </si>
  <si>
    <r>
      <rPr>
        <sz val="12"/>
        <rFont val="Calibri"/>
        <family val="1"/>
      </rPr>
      <t>Total length (feet) of unsealed longitudinal cracking in Zone5, width &lt; 0.25".</t>
    </r>
  </si>
  <si>
    <r>
      <rPr>
        <sz val="12"/>
        <rFont val="Calibri"/>
        <family val="1"/>
      </rPr>
      <t>LCUS Len Z5 Mod</t>
    </r>
  </si>
  <si>
    <r>
      <rPr>
        <sz val="12"/>
        <rFont val="Calibri"/>
        <family val="1"/>
      </rPr>
      <t>Total length (feet) of unsealed longitudinal cracking in Zone5, width  0.25" - 0.50".</t>
    </r>
  </si>
  <si>
    <r>
      <rPr>
        <sz val="12"/>
        <rFont val="Calibri"/>
        <family val="1"/>
      </rPr>
      <t>LCUS Len Z5 High</t>
    </r>
  </si>
  <si>
    <r>
      <rPr>
        <sz val="12"/>
        <rFont val="Calibri"/>
        <family val="1"/>
      </rPr>
      <t>Total length (feet) of unsealed longitudinal cracking in Zone5, width &gt; 0.50".</t>
    </r>
  </si>
  <si>
    <t>Longitudinal Cracks – Sealed</t>
  </si>
  <si>
    <r>
      <rPr>
        <sz val="12"/>
        <rFont val="Calibri"/>
        <family val="1"/>
      </rPr>
      <t>LCS Len Z1</t>
    </r>
  </si>
  <si>
    <r>
      <rPr>
        <sz val="12"/>
        <rFont val="Calibri"/>
        <family val="1"/>
      </rPr>
      <t>Total length (feet) of sealed longitudinal cracking in Zone1.</t>
    </r>
  </si>
  <si>
    <r>
      <rPr>
        <sz val="12"/>
        <rFont val="Calibri"/>
        <family val="1"/>
      </rPr>
      <t>LCS Len Z2</t>
    </r>
  </si>
  <si>
    <r>
      <rPr>
        <sz val="12"/>
        <rFont val="Calibri"/>
        <family val="1"/>
      </rPr>
      <t>Total length (feet) of sealed longitudinal cracking in Zone2.</t>
    </r>
  </si>
  <si>
    <r>
      <rPr>
        <sz val="12"/>
        <rFont val="Calibri"/>
        <family val="1"/>
      </rPr>
      <t>LCS Len Z3</t>
    </r>
  </si>
  <si>
    <r>
      <rPr>
        <sz val="12"/>
        <rFont val="Calibri"/>
        <family val="1"/>
      </rPr>
      <t>Total length (feet) of sealed longitudinal cracking in Zone3.</t>
    </r>
  </si>
  <si>
    <r>
      <rPr>
        <sz val="12"/>
        <rFont val="Calibri"/>
        <family val="1"/>
      </rPr>
      <t>LCS Len Z4</t>
    </r>
  </si>
  <si>
    <r>
      <rPr>
        <sz val="12"/>
        <rFont val="Calibri"/>
        <family val="1"/>
      </rPr>
      <t>Total length (feet) of sealed longitudinal cracking in Zone4.</t>
    </r>
  </si>
  <si>
    <r>
      <rPr>
        <sz val="12"/>
        <rFont val="Calibri"/>
        <family val="1"/>
      </rPr>
      <t>LCS Len Z5</t>
    </r>
  </si>
  <si>
    <r>
      <rPr>
        <sz val="12"/>
        <rFont val="Calibri"/>
        <family val="1"/>
      </rPr>
      <t>Total length (feet) of sealed longitudinal cracking in Zone5.</t>
    </r>
  </si>
  <si>
    <t>Transverse Cracks – Unsealed</t>
  </si>
  <si>
    <r>
      <rPr>
        <sz val="12"/>
        <rFont val="Calibri"/>
        <family val="1"/>
      </rPr>
      <t>TCUSFL Len Low</t>
    </r>
  </si>
  <si>
    <r>
      <rPr>
        <sz val="12"/>
        <rFont val="Calibri"/>
        <family val="1"/>
      </rPr>
      <t>Total length (feet) of unsealed transverse cracking, width &lt; 0.25".</t>
    </r>
  </si>
  <si>
    <r>
      <rPr>
        <sz val="12"/>
        <rFont val="Calibri"/>
        <family val="1"/>
      </rPr>
      <t>TCUSFL Len Mod</t>
    </r>
  </si>
  <si>
    <r>
      <rPr>
        <sz val="12"/>
        <rFont val="Calibri"/>
        <family val="1"/>
      </rPr>
      <t>Total length (feet) of unsealed transverse cracking, width  0.25" - 0.50".</t>
    </r>
  </si>
  <si>
    <r>
      <rPr>
        <sz val="12"/>
        <rFont val="Calibri"/>
        <family val="1"/>
      </rPr>
      <t>TCUSFL Len High</t>
    </r>
  </si>
  <si>
    <r>
      <rPr>
        <sz val="12"/>
        <rFont val="Calibri"/>
        <family val="1"/>
      </rPr>
      <t>Total length (feet) of unsealed transverse cracking, width &gt; 0.50".</t>
    </r>
  </si>
  <si>
    <t>Transverse Cracks – Sealed</t>
  </si>
  <si>
    <r>
      <rPr>
        <sz val="12"/>
        <rFont val="Calibri"/>
        <family val="1"/>
      </rPr>
      <t>TCSFL Len</t>
    </r>
  </si>
  <si>
    <r>
      <rPr>
        <sz val="12"/>
        <rFont val="Calibri"/>
        <family val="1"/>
      </rPr>
      <t>Total length (feet) of sealed transverse cracking.</t>
    </r>
  </si>
  <si>
    <r>
      <rPr>
        <sz val="12"/>
        <rFont val="Calibri"/>
        <family val="1"/>
      </rPr>
      <t>Patch Area Conc</t>
    </r>
  </si>
  <si>
    <r>
      <rPr>
        <sz val="12"/>
        <rFont val="Calibri"/>
        <family val="1"/>
      </rPr>
      <t>Total area (square feet) of concrete patching.</t>
    </r>
  </si>
  <si>
    <r>
      <rPr>
        <sz val="12"/>
        <rFont val="Calibri"/>
        <family val="1"/>
      </rPr>
      <t>Patch Area Asphalt</t>
    </r>
  </si>
  <si>
    <r>
      <rPr>
        <sz val="12"/>
        <rFont val="Calibri"/>
        <family val="1"/>
      </rPr>
      <t>Total area (square feet) of asphalt patching.</t>
    </r>
  </si>
  <si>
    <t>Potholes</t>
  </si>
  <si>
    <r>
      <rPr>
        <sz val="12"/>
        <rFont val="Calibri"/>
        <family val="1"/>
      </rPr>
      <t>PH Area</t>
    </r>
  </si>
  <si>
    <r>
      <rPr>
        <sz val="12"/>
        <rFont val="Calibri"/>
        <family val="1"/>
      </rPr>
      <t>Total combined area (square feet) of all potholes.</t>
    </r>
  </si>
  <si>
    <r>
      <rPr>
        <sz val="12"/>
        <rFont val="Calibri"/>
        <family val="1"/>
      </rPr>
      <t>PH Cnt Low</t>
    </r>
  </si>
  <si>
    <r>
      <rPr>
        <sz val="12"/>
        <rFont val="Calibri"/>
        <family val="1"/>
      </rPr>
      <t>Total number of potholes, maximum depth &lt; 1".</t>
    </r>
  </si>
  <si>
    <r>
      <rPr>
        <sz val="12"/>
        <rFont val="Calibri"/>
        <family val="1"/>
      </rPr>
      <t>PH Cnt Mod</t>
    </r>
  </si>
  <si>
    <r>
      <rPr>
        <sz val="12"/>
        <rFont val="Calibri"/>
        <family val="1"/>
      </rPr>
      <t>Total number of potholes, maximum depth 1" - 2".</t>
    </r>
  </si>
  <si>
    <r>
      <rPr>
        <sz val="12"/>
        <rFont val="Calibri"/>
        <family val="1"/>
      </rPr>
      <t>PH Cnt High</t>
    </r>
  </si>
  <si>
    <r>
      <rPr>
        <sz val="12"/>
        <rFont val="Calibri"/>
        <family val="1"/>
      </rPr>
      <t>Total number of potholes, maximum depth &gt; 2".</t>
    </r>
  </si>
  <si>
    <r>
      <rPr>
        <sz val="12"/>
        <rFont val="Calibri"/>
        <family val="1"/>
      </rPr>
      <t>Asphalt</t>
    </r>
  </si>
  <si>
    <t>Alligator Cracking</t>
  </si>
  <si>
    <r>
      <rPr>
        <sz val="12"/>
        <rFont val="Calibri"/>
        <family val="1"/>
      </rPr>
      <t>ALLIG Area Z1 Low</t>
    </r>
  </si>
  <si>
    <r>
      <rPr>
        <sz val="12"/>
        <rFont val="Calibri"/>
        <family val="1"/>
      </rPr>
      <t>Total area (square feet) of low-severity alligator cracking in Zone1.</t>
    </r>
  </si>
  <si>
    <r>
      <rPr>
        <sz val="12"/>
        <rFont val="Calibri"/>
        <family val="1"/>
      </rPr>
      <t>ALLIG Area Z1 Mod</t>
    </r>
  </si>
  <si>
    <r>
      <rPr>
        <sz val="12"/>
        <rFont val="Calibri"/>
        <family val="1"/>
      </rPr>
      <t>Total area (square feet) of moderate-severity alligator cracking in Zone1.</t>
    </r>
  </si>
  <si>
    <r>
      <rPr>
        <sz val="12"/>
        <rFont val="Calibri"/>
        <family val="1"/>
      </rPr>
      <t>ALLIG Area Z1 High</t>
    </r>
  </si>
  <si>
    <r>
      <rPr>
        <sz val="12"/>
        <rFont val="Calibri"/>
        <family val="1"/>
      </rPr>
      <t>Total area (square feet) of high-severity alligator cracking in Zone1.</t>
    </r>
  </si>
  <si>
    <r>
      <rPr>
        <sz val="12"/>
        <rFont val="Calibri"/>
        <family val="1"/>
      </rPr>
      <t>ALLIG Area Z2 Low</t>
    </r>
  </si>
  <si>
    <r>
      <rPr>
        <sz val="12"/>
        <rFont val="Calibri"/>
        <family val="1"/>
      </rPr>
      <t>Total area (square feet) of low-severity alligator cracking in Zone2.</t>
    </r>
  </si>
  <si>
    <r>
      <rPr>
        <sz val="12"/>
        <rFont val="Calibri"/>
        <family val="1"/>
      </rPr>
      <t>ALLIG Area Z2 Mod</t>
    </r>
  </si>
  <si>
    <r>
      <rPr>
        <sz val="12"/>
        <rFont val="Calibri"/>
        <family val="1"/>
      </rPr>
      <t>Total area (square feet) of moderate-severity alligator cracking in Zone2.</t>
    </r>
  </si>
  <si>
    <r>
      <rPr>
        <sz val="12"/>
        <rFont val="Calibri"/>
        <family val="1"/>
      </rPr>
      <t>ALLIG Area Z2 High</t>
    </r>
  </si>
  <si>
    <r>
      <rPr>
        <sz val="12"/>
        <rFont val="Calibri"/>
        <family val="1"/>
      </rPr>
      <t>Total area (square feet) of high-severity alligator cracking in Zone2.</t>
    </r>
  </si>
  <si>
    <r>
      <rPr>
        <sz val="12"/>
        <rFont val="Calibri"/>
        <family val="1"/>
      </rPr>
      <t>ALLIG Area Z3 Low</t>
    </r>
  </si>
  <si>
    <r>
      <rPr>
        <sz val="12"/>
        <rFont val="Calibri"/>
        <family val="1"/>
      </rPr>
      <t>Total area (square feet) of low-severity alligator cracking in Zone3.</t>
    </r>
  </si>
  <si>
    <r>
      <rPr>
        <sz val="12"/>
        <rFont val="Calibri"/>
        <family val="1"/>
      </rPr>
      <t>ALLIG Area Z3 Mod</t>
    </r>
  </si>
  <si>
    <r>
      <rPr>
        <sz val="12"/>
        <rFont val="Calibri"/>
        <family val="1"/>
      </rPr>
      <t>Total area (square feet) of moderate-severity alligator cracking in Zone3.</t>
    </r>
  </si>
  <si>
    <r>
      <rPr>
        <sz val="12"/>
        <rFont val="Calibri"/>
        <family val="1"/>
      </rPr>
      <t>ALLIG Area Z3 High</t>
    </r>
  </si>
  <si>
    <r>
      <rPr>
        <sz val="12"/>
        <rFont val="Calibri"/>
        <family val="1"/>
      </rPr>
      <t>Total area (square feet) of high-severity alligator cracking in Zone3.</t>
    </r>
  </si>
  <si>
    <r>
      <rPr>
        <sz val="12"/>
        <rFont val="Calibri"/>
        <family val="1"/>
      </rPr>
      <t>ALLIG Area Z4 Low</t>
    </r>
  </si>
  <si>
    <r>
      <rPr>
        <sz val="12"/>
        <rFont val="Calibri"/>
        <family val="1"/>
      </rPr>
      <t>Total area (square feet) of low-severity alligator cracking in Zone4.</t>
    </r>
  </si>
  <si>
    <r>
      <rPr>
        <sz val="12"/>
        <rFont val="Calibri"/>
        <family val="1"/>
      </rPr>
      <t>ALLIG Area Z4 Mod</t>
    </r>
  </si>
  <si>
    <r>
      <rPr>
        <sz val="12"/>
        <rFont val="Calibri"/>
        <family val="1"/>
      </rPr>
      <t>Total area (square feet) of moderate-severity alligator cracking in Zone4.</t>
    </r>
  </si>
  <si>
    <r>
      <rPr>
        <sz val="12"/>
        <rFont val="Calibri"/>
        <family val="1"/>
      </rPr>
      <t>ALLIG Area Z4 High</t>
    </r>
  </si>
  <si>
    <r>
      <rPr>
        <sz val="12"/>
        <rFont val="Calibri"/>
        <family val="1"/>
      </rPr>
      <t>Total area (square feet) of high-severity alligator cracking in Zone4.</t>
    </r>
  </si>
  <si>
    <r>
      <rPr>
        <sz val="12"/>
        <rFont val="Calibri"/>
        <family val="1"/>
      </rPr>
      <t>ALLIG Area Z5 Low</t>
    </r>
  </si>
  <si>
    <r>
      <rPr>
        <sz val="12"/>
        <rFont val="Calibri"/>
        <family val="1"/>
      </rPr>
      <t>Total area (square feet) of low-severity alligator cracking in Zone5.</t>
    </r>
  </si>
  <si>
    <r>
      <rPr>
        <sz val="12"/>
        <rFont val="Calibri"/>
        <family val="1"/>
      </rPr>
      <t>ALLIG Area Z5 Mod</t>
    </r>
  </si>
  <si>
    <r>
      <rPr>
        <sz val="12"/>
        <rFont val="Calibri"/>
        <family val="1"/>
      </rPr>
      <t>Total area (square feet) of moderate-severity alligator cracking in Zone5.</t>
    </r>
  </si>
  <si>
    <r>
      <rPr>
        <sz val="12"/>
        <rFont val="Calibri"/>
        <family val="1"/>
      </rPr>
      <t>ALLIG Area Z5 High</t>
    </r>
  </si>
  <si>
    <r>
      <rPr>
        <sz val="12"/>
        <rFont val="Calibri"/>
        <family val="1"/>
      </rPr>
      <t>Total area (square feet) of high-severity alligator cracking in Zone5.</t>
    </r>
  </si>
  <si>
    <r>
      <rPr>
        <sz val="12"/>
        <rFont val="Calibri"/>
        <family val="1"/>
      </rPr>
      <t>ALLIG Len Z1 Low</t>
    </r>
  </si>
  <si>
    <r>
      <rPr>
        <sz val="12"/>
        <rFont val="Calibri"/>
        <family val="1"/>
      </rPr>
      <t>Total length (feet) along pavement alignment of low-severity alligator cracking in Zone1.</t>
    </r>
  </si>
  <si>
    <r>
      <rPr>
        <sz val="12"/>
        <rFont val="Calibri"/>
        <family val="1"/>
      </rPr>
      <t>ALLIG Len Z1 Mod</t>
    </r>
  </si>
  <si>
    <r>
      <rPr>
        <sz val="12"/>
        <rFont val="Calibri"/>
        <family val="1"/>
      </rPr>
      <t>Total length (feet) along pavement alignment of moderate-severity alligator cracking in Zone1.</t>
    </r>
  </si>
  <si>
    <r>
      <rPr>
        <sz val="12"/>
        <rFont val="Calibri"/>
        <family val="1"/>
      </rPr>
      <t>ALLIG Len Z1 High</t>
    </r>
  </si>
  <si>
    <r>
      <rPr>
        <sz val="12"/>
        <rFont val="Calibri"/>
        <family val="1"/>
      </rPr>
      <t>Total length (feet) along pavement alignment of high-severity alligator cracking in Zone1.</t>
    </r>
  </si>
  <si>
    <r>
      <rPr>
        <sz val="12"/>
        <rFont val="Calibri"/>
        <family val="1"/>
      </rPr>
      <t>ALLIG Len Z2 Low</t>
    </r>
  </si>
  <si>
    <r>
      <rPr>
        <sz val="12"/>
        <rFont val="Calibri"/>
        <family val="1"/>
      </rPr>
      <t>Total length (feet) along pavement alignment of low-severity alligator cracking in Zone2.</t>
    </r>
  </si>
  <si>
    <r>
      <rPr>
        <sz val="12"/>
        <rFont val="Calibri"/>
        <family val="1"/>
      </rPr>
      <t>ALLIG Len Z2 Mod</t>
    </r>
  </si>
  <si>
    <r>
      <rPr>
        <sz val="12"/>
        <rFont val="Calibri"/>
        <family val="1"/>
      </rPr>
      <t>Total length (feet) along pavement alignment of moderate-severity alligator cracking in Zone2.</t>
    </r>
  </si>
  <si>
    <r>
      <rPr>
        <sz val="12"/>
        <rFont val="Calibri"/>
        <family val="1"/>
      </rPr>
      <t>ALLIG Len Z2 High</t>
    </r>
  </si>
  <si>
    <r>
      <rPr>
        <sz val="12"/>
        <rFont val="Calibri"/>
        <family val="1"/>
      </rPr>
      <t>Total length (feet) along pavement alignment of high-severity alligator cracking in Zone2.</t>
    </r>
  </si>
  <si>
    <r>
      <rPr>
        <sz val="12"/>
        <rFont val="Calibri"/>
        <family val="1"/>
      </rPr>
      <t>ALLIG Len Z3 Low</t>
    </r>
  </si>
  <si>
    <r>
      <rPr>
        <sz val="12"/>
        <rFont val="Calibri"/>
        <family val="1"/>
      </rPr>
      <t>Total length (feet) along pavement alignment of low-severity alligator cracking in Zone3.</t>
    </r>
  </si>
  <si>
    <r>
      <rPr>
        <sz val="12"/>
        <rFont val="Calibri"/>
        <family val="1"/>
      </rPr>
      <t>ALLIG Len Z3 Mod</t>
    </r>
  </si>
  <si>
    <r>
      <rPr>
        <sz val="12"/>
        <rFont val="Calibri"/>
        <family val="1"/>
      </rPr>
      <t>Total length (feet) along pavement alignment of moderate-severity alligator cracking in Zone3.</t>
    </r>
  </si>
  <si>
    <r>
      <rPr>
        <sz val="12"/>
        <rFont val="Calibri"/>
        <family val="1"/>
      </rPr>
      <t>ALLIG Len Z3 High</t>
    </r>
  </si>
  <si>
    <r>
      <rPr>
        <sz val="12"/>
        <rFont val="Calibri"/>
        <family val="1"/>
      </rPr>
      <t>Total length (feet) along pavement alignment of high-severity alligator cracking in Zone3.</t>
    </r>
  </si>
  <si>
    <r>
      <rPr>
        <sz val="12"/>
        <rFont val="Calibri"/>
        <family val="1"/>
      </rPr>
      <t>ALLIG Len Z4 Low</t>
    </r>
  </si>
  <si>
    <r>
      <rPr>
        <sz val="12"/>
        <rFont val="Calibri"/>
        <family val="1"/>
      </rPr>
      <t>Total length (feet) along pavement alignment of low-severity alligator cracking in Zone4.</t>
    </r>
  </si>
  <si>
    <r>
      <rPr>
        <sz val="12"/>
        <rFont val="Calibri"/>
        <family val="1"/>
      </rPr>
      <t>ALLIG Len Z4 Mod</t>
    </r>
  </si>
  <si>
    <r>
      <rPr>
        <sz val="12"/>
        <rFont val="Calibri"/>
        <family val="1"/>
      </rPr>
      <t>Total length (feet) along pavement alignment of moderate-severity alligator cracking in Zone4.</t>
    </r>
  </si>
  <si>
    <r>
      <rPr>
        <sz val="12"/>
        <rFont val="Calibri"/>
        <family val="1"/>
      </rPr>
      <t>ALLIG Len Z4 High</t>
    </r>
  </si>
  <si>
    <r>
      <rPr>
        <sz val="12"/>
        <rFont val="Calibri"/>
        <family val="1"/>
      </rPr>
      <t>Total length (feet) along pavement alignment of high-severity alligator cracking in Zone4.</t>
    </r>
  </si>
  <si>
    <r>
      <rPr>
        <sz val="12"/>
        <rFont val="Calibri"/>
        <family val="1"/>
      </rPr>
      <t>ALLIG Len Z5 Low</t>
    </r>
  </si>
  <si>
    <r>
      <rPr>
        <sz val="12"/>
        <rFont val="Calibri"/>
        <family val="1"/>
      </rPr>
      <t>Total length (feet) along pavement alignment of low-severity alligator cracking in Zone5.</t>
    </r>
  </si>
  <si>
    <r>
      <rPr>
        <sz val="12"/>
        <rFont val="Calibri"/>
        <family val="1"/>
      </rPr>
      <t>ALLIG Len Z5 Mod</t>
    </r>
  </si>
  <si>
    <r>
      <rPr>
        <sz val="12"/>
        <rFont val="Calibri"/>
        <family val="1"/>
      </rPr>
      <t>Total length (feet) along pavement alignment of moderate-severity alligator cracking in Zone5.</t>
    </r>
  </si>
  <si>
    <r>
      <rPr>
        <sz val="12"/>
        <rFont val="Calibri"/>
        <family val="1"/>
      </rPr>
      <t>ALLIG Len Z5 High</t>
    </r>
  </si>
  <si>
    <r>
      <rPr>
        <sz val="12"/>
        <rFont val="Calibri"/>
        <family val="1"/>
      </rPr>
      <t>Total length (feet) along pavement alignment of high-severity alligator cracking in Zone5.</t>
    </r>
  </si>
  <si>
    <r>
      <rPr>
        <sz val="12"/>
        <rFont val="Calibri"/>
        <family val="1"/>
      </rPr>
      <t>Rav Area</t>
    </r>
  </si>
  <si>
    <r>
      <rPr>
        <strike/>
        <sz val="12"/>
        <rFont val="Calibri"/>
        <family val="1"/>
      </rPr>
      <t>5,832 630</t>
    </r>
  </si>
  <si>
    <r>
      <rPr>
        <sz val="12"/>
        <rFont val="Calibri"/>
        <family val="1"/>
      </rPr>
      <t>Total area (square feet) of raveling.</t>
    </r>
  </si>
  <si>
    <r>
      <rPr>
        <sz val="12"/>
        <rFont val="Calibri"/>
        <family val="1"/>
      </rPr>
      <t>Bleed Area</t>
    </r>
  </si>
  <si>
    <r>
      <rPr>
        <strike/>
        <sz val="12"/>
        <rFont val="Calibri"/>
        <family val="1"/>
      </rPr>
      <t>1,026 310</t>
    </r>
  </si>
  <si>
    <r>
      <rPr>
        <sz val="12"/>
        <rFont val="Calibri"/>
        <family val="1"/>
      </rPr>
      <t>Total area (square feet) of bleeding.</t>
    </r>
  </si>
  <si>
    <r>
      <rPr>
        <sz val="12"/>
        <rFont val="Calibri"/>
        <family val="1"/>
      </rPr>
      <t>JCP</t>
    </r>
  </si>
  <si>
    <t>Transverse Joint Spalling</t>
  </si>
  <si>
    <r>
      <rPr>
        <sz val="12"/>
        <rFont val="Calibri"/>
        <family val="1"/>
      </rPr>
      <t>TJ Cnt None</t>
    </r>
  </si>
  <si>
    <r>
      <rPr>
        <sz val="12"/>
        <rFont val="Calibri"/>
        <family val="1"/>
      </rPr>
      <t>Number of transverse joints having no, or less than 10%, spalling.</t>
    </r>
  </si>
  <si>
    <r>
      <rPr>
        <sz val="12"/>
        <rFont val="Calibri"/>
        <family val="1"/>
      </rPr>
      <t>TJ Cnt Low</t>
    </r>
  </si>
  <si>
    <r>
      <rPr>
        <sz val="12"/>
        <rFont val="Calibri"/>
        <family val="1"/>
      </rPr>
      <t>Number of transverse joints with maximum spall width &lt; 3".</t>
    </r>
  </si>
  <si>
    <r>
      <rPr>
        <sz val="12"/>
        <rFont val="Calibri"/>
        <family val="1"/>
      </rPr>
      <t>TJ Cnt Mod</t>
    </r>
  </si>
  <si>
    <r>
      <rPr>
        <sz val="12"/>
        <rFont val="Calibri"/>
        <family val="1"/>
      </rPr>
      <t>Number of transverse joints with maximum spall width 3" - 6".</t>
    </r>
  </si>
  <si>
    <r>
      <rPr>
        <sz val="12"/>
        <rFont val="Calibri"/>
        <family val="1"/>
      </rPr>
      <t>TJ Cnt High</t>
    </r>
  </si>
  <si>
    <r>
      <rPr>
        <sz val="12"/>
        <rFont val="Calibri"/>
        <family val="1"/>
      </rPr>
      <t>Number of transverse joints with maximum spall width &gt; 6".</t>
    </r>
  </si>
  <si>
    <t>Longitudinal Joint Spalling</t>
  </si>
  <si>
    <r>
      <rPr>
        <sz val="12"/>
        <rFont val="Calibri"/>
        <family val="1"/>
      </rPr>
      <t>LJ Len Z1 Low</t>
    </r>
  </si>
  <si>
    <r>
      <rPr>
        <sz val="12"/>
        <rFont val="Calibri"/>
        <family val="1"/>
      </rPr>
      <t xml:space="preserve">Total length (feet) of longitudinal joint in Zone1 </t>
    </r>
    <r>
      <rPr>
        <strike/>
        <sz val="12"/>
        <rFont val="Calibri"/>
        <family val="1"/>
      </rPr>
      <t>with no spalling or where spalling present and spall width &lt; 3".</t>
    </r>
  </si>
  <si>
    <r>
      <rPr>
        <sz val="12"/>
        <rFont val="Calibri"/>
        <family val="1"/>
      </rPr>
      <t>LJ Len Z1 Mod</t>
    </r>
  </si>
  <si>
    <r>
      <rPr>
        <sz val="12"/>
        <rFont val="Calibri"/>
        <family val="1"/>
      </rPr>
      <t>Total length (feet) of longitudinal joint in Zone1 with spall width 3" - 6".</t>
    </r>
  </si>
  <si>
    <r>
      <rPr>
        <sz val="12"/>
        <rFont val="Calibri"/>
        <family val="1"/>
      </rPr>
      <t>LJ Len Z1 High</t>
    </r>
  </si>
  <si>
    <r>
      <rPr>
        <sz val="12"/>
        <rFont val="Calibri"/>
        <family val="1"/>
      </rPr>
      <t>Total length (feet) of longitudinal joint in Zone1 with spall width &gt; 6".</t>
    </r>
  </si>
  <si>
    <r>
      <rPr>
        <sz val="12"/>
        <rFont val="Calibri"/>
        <family val="1"/>
      </rPr>
      <t>LJ Len Z5 Low</t>
    </r>
  </si>
  <si>
    <r>
      <rPr>
        <sz val="12"/>
        <rFont val="Calibri"/>
        <family val="1"/>
      </rPr>
      <t xml:space="preserve">Total length (feet) of longitudinal joint in Zone5 </t>
    </r>
    <r>
      <rPr>
        <strike/>
        <sz val="12"/>
        <rFont val="Calibri"/>
        <family val="1"/>
      </rPr>
      <t>with no spalling or where spalling present and spall width &lt; 3".</t>
    </r>
  </si>
  <si>
    <r>
      <rPr>
        <sz val="12"/>
        <rFont val="Calibri"/>
        <family val="1"/>
      </rPr>
      <t>LJ Len Z5 Mod</t>
    </r>
  </si>
  <si>
    <r>
      <rPr>
        <sz val="12"/>
        <rFont val="Calibri"/>
        <family val="1"/>
      </rPr>
      <t>Total length (feet) of longitudinal joint in Zone5 with spall width 3" - 6".</t>
    </r>
  </si>
  <si>
    <r>
      <rPr>
        <sz val="12"/>
        <rFont val="Calibri"/>
        <family val="1"/>
      </rPr>
      <t>LJ Len Z5 High</t>
    </r>
  </si>
  <si>
    <r>
      <rPr>
        <sz val="12"/>
        <rFont val="Calibri"/>
        <family val="1"/>
      </rPr>
      <t>Total length (feet) of longitudinal joint in Zone5 with spall width &gt; 6".</t>
    </r>
  </si>
  <si>
    <t>Transverse Joint Sealing</t>
  </si>
  <si>
    <r>
      <rPr>
        <sz val="12"/>
        <rFont val="Calibri"/>
        <family val="1"/>
      </rPr>
      <t>TJS Len Pct</t>
    </r>
  </si>
  <si>
    <r>
      <rPr>
        <sz val="12"/>
        <rFont val="Calibri"/>
        <family val="1"/>
      </rPr>
      <t>Percentage of all transverse joints' combined total length where functional, intact sealant is present.</t>
    </r>
  </si>
  <si>
    <t>Longitudinal Joint Sealing</t>
  </si>
  <si>
    <r>
      <rPr>
        <sz val="12"/>
        <rFont val="Calibri"/>
        <family val="1"/>
      </rPr>
      <t>LJS Len Pct Z1</t>
    </r>
  </si>
  <si>
    <r>
      <rPr>
        <sz val="12"/>
        <rFont val="Calibri"/>
        <family val="1"/>
      </rPr>
      <t>Percentage of reporting section's total length where functional, intact sealant is present on the left-edge long. joint.</t>
    </r>
  </si>
  <si>
    <t>JCP</t>
  </si>
  <si>
    <t>LJS Len Pct Z5</t>
  </si>
  <si>
    <t>Percentage of reporting section's total length where functional, intact sealant is present on the right-edge long. joint.</t>
  </si>
  <si>
    <t>Corner Breaks</t>
  </si>
  <si>
    <r>
      <rPr>
        <sz val="12"/>
        <rFont val="Calibri"/>
        <family val="1"/>
      </rPr>
      <t>CB Cnt Low</t>
    </r>
  </si>
  <si>
    <r>
      <rPr>
        <sz val="12"/>
        <rFont val="Calibri"/>
        <family val="1"/>
      </rPr>
      <t>Number of corner breaks with LTPP-defined severity = Low</t>
    </r>
  </si>
  <si>
    <r>
      <rPr>
        <sz val="12"/>
        <rFont val="Calibri"/>
        <family val="1"/>
      </rPr>
      <t>CB Cnt Mod</t>
    </r>
  </si>
  <si>
    <r>
      <rPr>
        <sz val="12"/>
        <rFont val="Calibri"/>
        <family val="1"/>
      </rPr>
      <t>Number of corner breaks with LTPP-defined severity = Moderate</t>
    </r>
  </si>
  <si>
    <r>
      <rPr>
        <sz val="12"/>
        <rFont val="Calibri"/>
        <family val="1"/>
      </rPr>
      <t>CB Cnt High</t>
    </r>
  </si>
  <si>
    <r>
      <rPr>
        <sz val="12"/>
        <rFont val="Calibri"/>
        <family val="1"/>
      </rPr>
      <t>Number of corner breaks with LTPP-defined severity = High</t>
    </r>
  </si>
  <si>
    <r>
      <rPr>
        <sz val="12"/>
        <rFont val="Calibri"/>
        <family val="1"/>
      </rPr>
      <t>JCP &amp; MDOT-Defined CRC</t>
    </r>
  </si>
  <si>
    <t>Punchouts</t>
  </si>
  <si>
    <r>
      <rPr>
        <sz val="12"/>
        <rFont val="Calibri"/>
        <family val="1"/>
      </rPr>
      <t>Punch Cnt</t>
    </r>
  </si>
  <si>
    <r>
      <rPr>
        <sz val="12"/>
        <rFont val="Calibri"/>
        <family val="1"/>
      </rPr>
      <t>Number of punchouts.</t>
    </r>
  </si>
  <si>
    <r>
      <rPr>
        <sz val="12"/>
        <rFont val="Calibri"/>
        <family val="1"/>
      </rPr>
      <t>Punch Area</t>
    </r>
  </si>
  <si>
    <r>
      <rPr>
        <sz val="12"/>
        <rFont val="Calibri"/>
        <family val="1"/>
      </rPr>
      <t>Total combined area (square feet) of all punchouts.</t>
    </r>
  </si>
  <si>
    <r>
      <rPr>
        <b/>
        <sz val="12"/>
        <rFont val="Times New Roman"/>
        <family val="1"/>
      </rPr>
      <t>* Refer to Appendix G for full definition.</t>
    </r>
  </si>
  <si>
    <t>Definition</t>
  </si>
  <si>
    <t>Total length (feet) of longitudinal joint in Zone5</t>
  </si>
  <si>
    <t>Total length (feet) of longitudinal joint in Zone1</t>
  </si>
  <si>
    <t>SDS attribute (percent)</t>
  </si>
  <si>
    <t>For PD codes 201 and 721 = (7,0); For PD code 236 = (3,0); For PD code 501 =  (0,0)</t>
  </si>
  <si>
    <t>For PD codes 203 and 723 = (7,0); For PD code 237 = (3,0); For PD code 501 =  (0,0)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</si>
</sst>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 tint="-0.499984740745262"/>
      <name val="Aptos Narrow"/>
      <scheme val="minor"/>
    </font>
    <font>
      <sz val="12"/>
      <color theme="1"/>
      <name val="Times New Roman"/>
      <family val="1"/>
    </font>
    <font>
      <sz val="12"/>
      <color theme="8" tint="-0.249977111117893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color rgb="FF808080"/>
      <name val="Aptos Narrow"/>
      <family val="2"/>
      <scheme val="minor"/>
    </font>
    <font>
      <b/>
      <sz val="12"/>
      <name val="Calibri"/>
      <family val="2"/>
    </font>
    <font>
      <b/>
      <u/>
      <sz val="12"/>
      <name val="Calibri"/>
      <family val="1"/>
    </font>
    <font>
      <sz val="12"/>
      <name val="Calibri"/>
      <family val="2"/>
    </font>
    <font>
      <sz val="12"/>
      <name val="Calibri"/>
      <family val="1"/>
    </font>
    <font>
      <b/>
      <sz val="12"/>
      <name val="Times New Roman"/>
      <family val="1"/>
    </font>
    <font>
      <sz val="12"/>
      <color rgb="FF000000"/>
      <name val="Calibri"/>
      <family val="2"/>
    </font>
    <font>
      <strike/>
      <sz val="12"/>
      <color rgb="FF000000"/>
      <name val="Calibri"/>
      <family val="2"/>
    </font>
    <font>
      <strike/>
      <sz val="12"/>
      <name val="Calibri"/>
      <family val="1"/>
    </font>
    <font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FBFBF"/>
      </patternFill>
    </fill>
    <fill>
      <patternFill patternType="solid">
        <fgColor rgb="FFC9C9C9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 style="thin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9">
    <xf numFmtId="0" fontId="0" fillId="0" borderId="0" xfId="0"/>
    <xf numFmtId="0" fontId="19" fillId="0" borderId="0" xfId="0" applyFont="1"/>
    <xf numFmtId="0" fontId="20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22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3" fontId="0" fillId="0" borderId="0" xfId="0" applyNumberFormat="1"/>
    <xf numFmtId="0" fontId="24" fillId="0" borderId="0" xfId="0" applyFont="1"/>
    <xf numFmtId="0" fontId="20" fillId="0" borderId="10" xfId="0" applyFont="1" applyBorder="1"/>
    <xf numFmtId="0" fontId="20" fillId="0" borderId="12" xfId="0" applyFont="1" applyBorder="1"/>
    <xf numFmtId="0" fontId="20" fillId="0" borderId="11" xfId="0" applyFont="1" applyBorder="1"/>
    <xf numFmtId="0" fontId="21" fillId="0" borderId="11" xfId="0" applyFont="1" applyBorder="1"/>
    <xf numFmtId="0" fontId="20" fillId="0" borderId="1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5" fillId="0" borderId="0" xfId="0" applyFont="1"/>
    <xf numFmtId="0" fontId="0" fillId="33" borderId="13" xfId="0" applyFill="1" applyBorder="1"/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19" fillId="0" borderId="16" xfId="0" applyFont="1" applyBorder="1"/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8" xfId="0" applyFont="1" applyBorder="1"/>
    <xf numFmtId="0" fontId="0" fillId="0" borderId="19" xfId="0" applyBorder="1"/>
    <xf numFmtId="0" fontId="0" fillId="0" borderId="20" xfId="0" applyBorder="1"/>
    <xf numFmtId="0" fontId="26" fillId="0" borderId="21" xfId="0" applyFont="1" applyBorder="1" applyAlignment="1">
      <alignment horizontal="center" vertical="top" wrapText="1"/>
    </xf>
    <xf numFmtId="0" fontId="26" fillId="0" borderId="21" xfId="0" applyFont="1" applyBorder="1" applyAlignment="1">
      <alignment horizontal="left" vertical="top" wrapText="1"/>
    </xf>
    <xf numFmtId="0" fontId="28" fillId="0" borderId="21" xfId="0" applyFont="1" applyBorder="1" applyAlignment="1">
      <alignment horizontal="center" vertical="top" wrapText="1"/>
    </xf>
    <xf numFmtId="0" fontId="30" fillId="0" borderId="21" xfId="0" applyFont="1" applyBorder="1" applyAlignment="1">
      <alignment horizontal="left" vertical="top" wrapText="1"/>
    </xf>
    <xf numFmtId="0" fontId="28" fillId="0" borderId="21" xfId="0" applyFont="1" applyBorder="1" applyAlignment="1">
      <alignment horizontal="left" vertical="top" wrapText="1"/>
    </xf>
    <xf numFmtId="1" fontId="31" fillId="34" borderId="21" xfId="0" applyNumberFormat="1" applyFont="1" applyFill="1" applyBorder="1" applyAlignment="1">
      <alignment horizontal="center" vertical="top" shrinkToFit="1"/>
    </xf>
    <xf numFmtId="0" fontId="28" fillId="34" borderId="21" xfId="0" applyFont="1" applyFill="1" applyBorder="1" applyAlignment="1">
      <alignment horizontal="left" vertical="top" wrapText="1"/>
    </xf>
    <xf numFmtId="3" fontId="32" fillId="34" borderId="21" xfId="0" applyNumberFormat="1" applyFont="1" applyFill="1" applyBorder="1" applyAlignment="1">
      <alignment horizontal="center" vertical="top" shrinkToFit="1"/>
    </xf>
    <xf numFmtId="0" fontId="28" fillId="35" borderId="21" xfId="0" applyFont="1" applyFill="1" applyBorder="1" applyAlignment="1">
      <alignment horizontal="left" vertical="top" wrapText="1"/>
    </xf>
    <xf numFmtId="1" fontId="31" fillId="0" borderId="21" xfId="0" applyNumberFormat="1" applyFont="1" applyBorder="1" applyAlignment="1">
      <alignment horizontal="center" vertical="top" shrinkToFit="1"/>
    </xf>
    <xf numFmtId="3" fontId="32" fillId="35" borderId="21" xfId="0" applyNumberFormat="1" applyFont="1" applyFill="1" applyBorder="1" applyAlignment="1">
      <alignment horizontal="center" vertical="top" shrinkToFit="1"/>
    </xf>
    <xf numFmtId="0" fontId="28" fillId="35" borderId="21" xfId="0" applyFont="1" applyFill="1" applyBorder="1" applyAlignment="1">
      <alignment horizontal="center" vertical="top" wrapText="1"/>
    </xf>
    <xf numFmtId="0" fontId="30" fillId="35" borderId="21" xfId="0" applyFont="1" applyFill="1" applyBorder="1" applyAlignment="1">
      <alignment horizontal="left" vertical="top" wrapText="1"/>
    </xf>
    <xf numFmtId="1" fontId="31" fillId="35" borderId="21" xfId="0" applyNumberFormat="1" applyFont="1" applyFill="1" applyBorder="1" applyAlignment="1">
      <alignment horizontal="center" vertical="top" shrinkToFit="1"/>
    </xf>
    <xf numFmtId="0" fontId="28" fillId="34" borderId="21" xfId="0" applyFont="1" applyFill="1" applyBorder="1" applyAlignment="1">
      <alignment horizontal="center" vertical="top" wrapText="1"/>
    </xf>
    <xf numFmtId="0" fontId="30" fillId="34" borderId="21" xfId="0" applyFont="1" applyFill="1" applyBorder="1" applyAlignment="1">
      <alignment horizontal="left" vertical="top" wrapText="1"/>
    </xf>
    <xf numFmtId="0" fontId="29" fillId="34" borderId="21" xfId="0" applyFont="1" applyFill="1" applyBorder="1" applyAlignment="1">
      <alignment horizontal="center" vertical="top" wrapText="1"/>
    </xf>
    <xf numFmtId="0" fontId="29" fillId="34" borderId="21" xfId="0" applyFont="1" applyFill="1" applyBorder="1" applyAlignment="1">
      <alignment horizontal="left" vertical="top" wrapText="1"/>
    </xf>
    <xf numFmtId="0" fontId="34" fillId="0" borderId="22" xfId="0" applyFont="1" applyBorder="1" applyAlignment="1">
      <alignment horizontal="left" wrapText="1"/>
    </xf>
    <xf numFmtId="0" fontId="34" fillId="0" borderId="23" xfId="0" applyFont="1" applyBorder="1" applyAlignment="1">
      <alignment horizontal="left" wrapText="1"/>
    </xf>
    <xf numFmtId="0" fontId="34" fillId="0" borderId="24" xfId="0" applyFont="1" applyBorder="1" applyAlignment="1">
      <alignment horizontal="left" vertical="top" wrapText="1"/>
    </xf>
    <xf numFmtId="0" fontId="34" fillId="0" borderId="25" xfId="0" applyFont="1" applyBorder="1" applyAlignment="1">
      <alignment horizontal="left" vertical="top" wrapText="1"/>
    </xf>
    <xf numFmtId="0" fontId="34" fillId="0" borderId="26" xfId="0" applyFont="1" applyBorder="1" applyAlignment="1">
      <alignment horizontal="left" wrapText="1"/>
    </xf>
    <xf numFmtId="0" fontId="34" fillId="0" borderId="0" xfId="0" applyFont="1" applyAlignment="1">
      <alignment horizontal="left" vertical="top"/>
    </xf>
    <xf numFmtId="0" fontId="26" fillId="0" borderId="21" xfId="0" applyFont="1" applyBorder="1" applyAlignment="1">
      <alignment horizontal="center" vertical="top"/>
    </xf>
    <xf numFmtId="0" fontId="26" fillId="0" borderId="21" xfId="0" applyFont="1" applyBorder="1" applyAlignment="1">
      <alignment horizontal="left" vertical="top"/>
    </xf>
    <xf numFmtId="0" fontId="20" fillId="0" borderId="0" xfId="0" applyFont="1" applyAlignment="1"/>
    <xf numFmtId="0" fontId="20" fillId="0" borderId="10" xfId="0" applyFont="1" applyBorder="1" applyAlignment="1"/>
    <xf numFmtId="0" fontId="27" fillId="0" borderId="21" xfId="0" applyFont="1" applyBorder="1" applyAlignment="1">
      <alignment horizontal="center" vertical="top"/>
    </xf>
    <xf numFmtId="0" fontId="20" fillId="0" borderId="12" xfId="0" applyFont="1" applyBorder="1" applyAlignment="1"/>
    <xf numFmtId="0" fontId="20" fillId="0" borderId="11" xfId="0" applyFont="1" applyBorder="1" applyAlignment="1"/>
    <xf numFmtId="0" fontId="21" fillId="0" borderId="11" xfId="0" applyFont="1" applyBorder="1" applyAlignment="1"/>
    <xf numFmtId="0" fontId="28" fillId="0" borderId="21" xfId="0" applyFont="1" applyBorder="1" applyAlignment="1">
      <alignment horizontal="center" vertical="top"/>
    </xf>
    <xf numFmtId="0" fontId="30" fillId="0" borderId="21" xfId="0" applyFont="1" applyBorder="1" applyAlignment="1">
      <alignment horizontal="left" vertical="top"/>
    </xf>
    <xf numFmtId="0" fontId="28" fillId="0" borderId="21" xfId="0" applyFont="1" applyBorder="1" applyAlignment="1">
      <alignment horizontal="left" vertical="top"/>
    </xf>
    <xf numFmtId="0" fontId="0" fillId="0" borderId="0" xfId="0" applyAlignment="1"/>
    <xf numFmtId="0" fontId="0" fillId="0" borderId="13" xfId="0" applyBorder="1" applyAlignment="1"/>
    <xf numFmtId="0" fontId="0" fillId="0" borderId="14" xfId="0" applyBorder="1" applyAlignment="1"/>
    <xf numFmtId="0" fontId="19" fillId="0" borderId="0" xfId="0" applyFont="1" applyAlignment="1"/>
    <xf numFmtId="0" fontId="28" fillId="35" borderId="21" xfId="0" applyFont="1" applyFill="1" applyBorder="1" applyAlignment="1">
      <alignment horizontal="center" vertical="top"/>
    </xf>
    <xf numFmtId="0" fontId="30" fillId="35" borderId="21" xfId="0" applyFont="1" applyFill="1" applyBorder="1" applyAlignment="1">
      <alignment horizontal="left" vertical="top"/>
    </xf>
    <xf numFmtId="0" fontId="28" fillId="35" borderId="21" xfId="0" applyFont="1" applyFill="1" applyBorder="1" applyAlignment="1">
      <alignment horizontal="left" vertical="top"/>
    </xf>
    <xf numFmtId="0" fontId="0" fillId="33" borderId="13" xfId="0" applyFill="1" applyBorder="1" applyAlignment="1"/>
    <xf numFmtId="0" fontId="34" fillId="0" borderId="22" xfId="0" applyFont="1" applyBorder="1" applyAlignment="1">
      <alignment horizontal="left"/>
    </xf>
    <xf numFmtId="0" fontId="34" fillId="0" borderId="23" xfId="0" applyFont="1" applyBorder="1" applyAlignment="1">
      <alignment horizontal="left"/>
    </xf>
    <xf numFmtId="0" fontId="34" fillId="0" borderId="24" xfId="0" applyFont="1" applyBorder="1" applyAlignment="1">
      <alignment vertical="top"/>
    </xf>
    <xf numFmtId="0" fontId="34" fillId="0" borderId="25" xfId="0" applyFont="1" applyBorder="1" applyAlignment="1">
      <alignment vertical="top"/>
    </xf>
    <xf numFmtId="0" fontId="34" fillId="0" borderId="26" xfId="0" applyFont="1" applyBorder="1" applyAlignment="1">
      <alignment horizontal="left"/>
    </xf>
    <xf numFmtId="0" fontId="28" fillId="34" borderId="21" xfId="0" applyFont="1" applyFill="1" applyBorder="1" applyAlignment="1">
      <alignment horizontal="left" vertical="top"/>
    </xf>
    <xf numFmtId="0" fontId="28" fillId="34" borderId="21" xfId="0" applyFont="1" applyFill="1" applyBorder="1" applyAlignment="1">
      <alignment horizontal="center" vertical="top"/>
    </xf>
    <xf numFmtId="0" fontId="0" fillId="0" borderId="15" xfId="0" applyBorder="1" applyAlignment="1"/>
    <xf numFmtId="0" fontId="0" fillId="0" borderId="16" xfId="0" applyBorder="1" applyAlignment="1"/>
    <xf numFmtId="0" fontId="19" fillId="0" borderId="16" xfId="0" applyFont="1" applyBorder="1" applyAlignment="1"/>
    <xf numFmtId="0" fontId="0" fillId="0" borderId="17" xfId="0" applyBorder="1" applyAlignment="1"/>
    <xf numFmtId="0" fontId="29" fillId="34" borderId="21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CB41-9E43-3B4B-A8F9-80CEEE21BA75}">
  <sheetPr codeName="Sheet1"/>
  <dimension ref="A1:N87"/>
  <sheetViews>
    <sheetView zoomScaleNormal="71" workbookViewId="0">
      <pane xSplit="2" ySplit="1" topLeftCell="C40" activePane="bottomRight" state="frozen"/>
      <selection pane="topRight" activeCell="C1" sqref="C1"/>
      <selection pane="bottomLeft" activeCell="A2" sqref="A2"/>
      <selection pane="bottomRight" activeCell="A74" sqref="A74"/>
    </sheetView>
  </sheetViews>
  <sheetFormatPr baseColWidth="10" defaultColWidth="11" defaultRowHeight="16" x14ac:dyDescent="0.2"/>
  <cols>
    <col min="1" max="1" width="11.33203125" bestFit="1" customWidth="1"/>
    <col min="2" max="2" width="17.6640625" bestFit="1" customWidth="1"/>
    <col min="3" max="3" width="20.6640625" bestFit="1" customWidth="1"/>
    <col min="4" max="4" width="10.33203125" customWidth="1"/>
    <col min="5" max="5" width="21.33203125" style="1" customWidth="1"/>
    <col min="6" max="6" width="19.5" bestFit="1" customWidth="1"/>
    <col min="7" max="7" width="19.5" customWidth="1"/>
    <col min="8" max="8" width="10.33203125" customWidth="1"/>
    <col min="9" max="9" width="22.5" style="1" customWidth="1"/>
    <col min="10" max="10" width="19.83203125" bestFit="1" customWidth="1"/>
    <col min="11" max="11" width="80.5" bestFit="1" customWidth="1"/>
    <col min="12" max="12" width="50.33203125" bestFit="1" customWidth="1"/>
    <col min="13" max="13" width="50.33203125" customWidth="1"/>
  </cols>
  <sheetData>
    <row r="1" spans="1:13" s="2" customFormat="1" x14ac:dyDescent="0.2">
      <c r="A1" s="12" t="s">
        <v>0</v>
      </c>
      <c r="B1" s="13" t="s">
        <v>1</v>
      </c>
      <c r="C1" s="12" t="s">
        <v>2</v>
      </c>
      <c r="D1" s="14" t="s">
        <v>3</v>
      </c>
      <c r="E1" s="15" t="s">
        <v>4</v>
      </c>
      <c r="F1" s="13" t="s">
        <v>5</v>
      </c>
      <c r="G1" s="12" t="s">
        <v>6</v>
      </c>
      <c r="H1" s="14" t="s">
        <v>3</v>
      </c>
      <c r="I1" s="15" t="s">
        <v>7</v>
      </c>
      <c r="J1" s="13" t="s">
        <v>8</v>
      </c>
      <c r="K1" s="16" t="s">
        <v>9</v>
      </c>
      <c r="L1" s="17" t="s">
        <v>10</v>
      </c>
      <c r="M1" s="30"/>
    </row>
    <row r="2" spans="1:13" x14ac:dyDescent="0.2">
      <c r="A2" s="18" t="s">
        <v>11</v>
      </c>
      <c r="B2" s="19" t="s">
        <v>12</v>
      </c>
      <c r="C2" s="18">
        <f>E2/D2</f>
        <v>0</v>
      </c>
      <c r="D2">
        <v>1</v>
      </c>
      <c r="E2" s="1">
        <v>0</v>
      </c>
      <c r="F2" s="19" t="s">
        <v>13</v>
      </c>
      <c r="G2" s="18">
        <f>I2/H2</f>
        <v>0</v>
      </c>
      <c r="H2">
        <v>1</v>
      </c>
      <c r="I2" s="1">
        <v>0</v>
      </c>
      <c r="J2" s="19" t="s">
        <v>13</v>
      </c>
      <c r="K2" s="20" t="s">
        <v>14</v>
      </c>
      <c r="L2" s="21">
        <v>0</v>
      </c>
      <c r="M2" s="7"/>
    </row>
    <row r="3" spans="1:13" x14ac:dyDescent="0.2">
      <c r="A3" s="18" t="s">
        <v>11</v>
      </c>
      <c r="B3" s="19" t="s">
        <v>15</v>
      </c>
      <c r="C3" s="18">
        <f t="shared" ref="C3:C66" si="0">E3/D3</f>
        <v>0</v>
      </c>
      <c r="D3">
        <v>1</v>
      </c>
      <c r="E3" s="1">
        <v>0</v>
      </c>
      <c r="F3" s="19" t="s">
        <v>13</v>
      </c>
      <c r="G3" s="18">
        <f t="shared" ref="G3:G66" si="1">I3/H3</f>
        <v>0</v>
      </c>
      <c r="H3">
        <v>1</v>
      </c>
      <c r="I3" s="1">
        <v>0</v>
      </c>
      <c r="J3" s="19" t="s">
        <v>13</v>
      </c>
      <c r="K3" s="20" t="s">
        <v>14</v>
      </c>
      <c r="L3" s="21">
        <v>0</v>
      </c>
      <c r="M3" s="7"/>
    </row>
    <row r="4" spans="1:13" x14ac:dyDescent="0.2">
      <c r="A4" s="18" t="s">
        <v>11</v>
      </c>
      <c r="B4" s="19" t="s">
        <v>16</v>
      </c>
      <c r="C4" s="18">
        <f t="shared" si="0"/>
        <v>0</v>
      </c>
      <c r="D4">
        <v>1</v>
      </c>
      <c r="E4" s="1">
        <v>0</v>
      </c>
      <c r="F4" s="19" t="s">
        <v>13</v>
      </c>
      <c r="G4" s="18">
        <f t="shared" si="1"/>
        <v>0</v>
      </c>
      <c r="H4">
        <v>1</v>
      </c>
      <c r="I4" s="1">
        <v>0</v>
      </c>
      <c r="J4" s="19" t="s">
        <v>13</v>
      </c>
      <c r="K4" s="20" t="s">
        <v>14</v>
      </c>
      <c r="L4" s="21">
        <v>0</v>
      </c>
      <c r="M4" s="7"/>
    </row>
    <row r="5" spans="1:13" x14ac:dyDescent="0.2">
      <c r="A5" s="18" t="s">
        <v>11</v>
      </c>
      <c r="B5" s="19" t="s">
        <v>17</v>
      </c>
      <c r="C5" s="18">
        <f t="shared" si="0"/>
        <v>0</v>
      </c>
      <c r="D5">
        <v>1</v>
      </c>
      <c r="E5" s="1">
        <v>0</v>
      </c>
      <c r="F5" s="19" t="s">
        <v>13</v>
      </c>
      <c r="G5" s="18">
        <f t="shared" si="1"/>
        <v>0</v>
      </c>
      <c r="H5">
        <v>1</v>
      </c>
      <c r="I5" s="1">
        <v>0</v>
      </c>
      <c r="J5" s="19" t="s">
        <v>13</v>
      </c>
      <c r="K5" s="20" t="s">
        <v>14</v>
      </c>
      <c r="L5" s="21">
        <v>0</v>
      </c>
      <c r="M5" s="7"/>
    </row>
    <row r="6" spans="1:13" x14ac:dyDescent="0.2">
      <c r="A6" s="18" t="s">
        <v>11</v>
      </c>
      <c r="B6" s="19" t="s">
        <v>18</v>
      </c>
      <c r="C6" s="18">
        <f t="shared" si="0"/>
        <v>0</v>
      </c>
      <c r="D6">
        <v>1</v>
      </c>
      <c r="E6" s="1">
        <v>0</v>
      </c>
      <c r="F6" s="19" t="s">
        <v>13</v>
      </c>
      <c r="G6" s="18">
        <f t="shared" si="1"/>
        <v>0</v>
      </c>
      <c r="H6">
        <v>1</v>
      </c>
      <c r="I6" s="1">
        <v>0</v>
      </c>
      <c r="J6" s="19" t="s">
        <v>13</v>
      </c>
      <c r="K6" s="20" t="s">
        <v>14</v>
      </c>
      <c r="L6" s="21">
        <v>0</v>
      </c>
      <c r="M6" s="7"/>
    </row>
    <row r="7" spans="1:13" x14ac:dyDescent="0.2">
      <c r="A7" s="18" t="s">
        <v>11</v>
      </c>
      <c r="B7" s="19" t="s">
        <v>19</v>
      </c>
      <c r="C7" s="18">
        <f t="shared" si="0"/>
        <v>0</v>
      </c>
      <c r="D7">
        <v>1</v>
      </c>
      <c r="E7" s="1">
        <v>0</v>
      </c>
      <c r="F7" s="19" t="s">
        <v>13</v>
      </c>
      <c r="G7" s="18">
        <f t="shared" si="1"/>
        <v>0</v>
      </c>
      <c r="H7">
        <v>1</v>
      </c>
      <c r="I7" s="1">
        <v>0</v>
      </c>
      <c r="J7" s="19" t="s">
        <v>13</v>
      </c>
      <c r="K7" s="20" t="s">
        <v>14</v>
      </c>
      <c r="L7" s="21">
        <v>0</v>
      </c>
      <c r="M7" s="7"/>
    </row>
    <row r="8" spans="1:13" x14ac:dyDescent="0.2">
      <c r="A8" s="18" t="s">
        <v>11</v>
      </c>
      <c r="B8" s="19" t="s">
        <v>20</v>
      </c>
      <c r="C8" s="18">
        <f t="shared" si="0"/>
        <v>5.4999999999999997E-3</v>
      </c>
      <c r="D8">
        <v>2</v>
      </c>
      <c r="E8" s="1">
        <v>1.0999999999999999E-2</v>
      </c>
      <c r="F8" s="19" t="s">
        <v>21</v>
      </c>
      <c r="G8" s="18">
        <f t="shared" si="1"/>
        <v>0</v>
      </c>
      <c r="H8">
        <v>2</v>
      </c>
      <c r="I8" s="1">
        <v>0</v>
      </c>
      <c r="J8" s="19" t="s">
        <v>14</v>
      </c>
      <c r="K8" s="20" t="s">
        <v>22</v>
      </c>
      <c r="L8" s="21" t="s">
        <v>23</v>
      </c>
      <c r="M8" s="7"/>
    </row>
    <row r="9" spans="1:13" x14ac:dyDescent="0.2">
      <c r="A9" s="18" t="s">
        <v>11</v>
      </c>
      <c r="B9" s="19" t="s">
        <v>24</v>
      </c>
      <c r="C9" s="18">
        <f t="shared" si="0"/>
        <v>1.55E-2</v>
      </c>
      <c r="D9">
        <v>2</v>
      </c>
      <c r="E9" s="1">
        <v>3.1E-2</v>
      </c>
      <c r="F9" s="19" t="s">
        <v>25</v>
      </c>
      <c r="G9" s="18">
        <f t="shared" si="1"/>
        <v>0</v>
      </c>
      <c r="H9">
        <v>2</v>
      </c>
      <c r="I9" s="1">
        <v>0</v>
      </c>
      <c r="J9" s="19" t="s">
        <v>14</v>
      </c>
      <c r="K9" s="20" t="s">
        <v>22</v>
      </c>
      <c r="L9" s="21" t="s">
        <v>23</v>
      </c>
      <c r="M9" s="7"/>
    </row>
    <row r="10" spans="1:13" x14ac:dyDescent="0.2">
      <c r="A10" s="18" t="s">
        <v>11</v>
      </c>
      <c r="B10" s="19" t="s">
        <v>26</v>
      </c>
      <c r="C10" s="18">
        <f t="shared" si="0"/>
        <v>4.2000000000000003E-2</v>
      </c>
      <c r="D10">
        <v>2</v>
      </c>
      <c r="E10" s="1">
        <v>8.4000000000000005E-2</v>
      </c>
      <c r="F10" s="19" t="s">
        <v>27</v>
      </c>
      <c r="G10" s="18">
        <f t="shared" si="1"/>
        <v>0</v>
      </c>
      <c r="H10">
        <v>2</v>
      </c>
      <c r="I10" s="1">
        <v>0</v>
      </c>
      <c r="J10" s="19" t="s">
        <v>14</v>
      </c>
      <c r="K10" s="20" t="s">
        <v>22</v>
      </c>
      <c r="L10" s="21" t="s">
        <v>23</v>
      </c>
      <c r="M10" s="7"/>
    </row>
    <row r="11" spans="1:13" x14ac:dyDescent="0.2">
      <c r="A11" s="18" t="s">
        <v>11</v>
      </c>
      <c r="B11" s="19" t="s">
        <v>28</v>
      </c>
      <c r="C11" s="18">
        <f t="shared" si="0"/>
        <v>5.4999999999999997E-3</v>
      </c>
      <c r="D11">
        <v>2</v>
      </c>
      <c r="E11" s="1">
        <v>1.0999999999999999E-2</v>
      </c>
      <c r="F11" s="19" t="s">
        <v>29</v>
      </c>
      <c r="G11" s="18">
        <f t="shared" si="1"/>
        <v>2.2499999999999999E-2</v>
      </c>
      <c r="H11">
        <v>2</v>
      </c>
      <c r="I11" s="1">
        <v>4.4999999999999998E-2</v>
      </c>
      <c r="J11" s="19" t="s">
        <v>29</v>
      </c>
      <c r="K11" s="20" t="s">
        <v>30</v>
      </c>
      <c r="L11" s="21" t="s">
        <v>23</v>
      </c>
      <c r="M11" s="7"/>
    </row>
    <row r="12" spans="1:13" x14ac:dyDescent="0.2">
      <c r="A12" s="18" t="s">
        <v>11</v>
      </c>
      <c r="B12" s="19" t="s">
        <v>31</v>
      </c>
      <c r="C12" s="18">
        <f t="shared" si="0"/>
        <v>0.109</v>
      </c>
      <c r="D12">
        <v>2</v>
      </c>
      <c r="E12" s="1">
        <v>0.218</v>
      </c>
      <c r="F12" s="19" t="s">
        <v>32</v>
      </c>
      <c r="G12" s="18">
        <f t="shared" si="1"/>
        <v>3.3750000000000002E-2</v>
      </c>
      <c r="H12">
        <v>2</v>
      </c>
      <c r="I12" s="1">
        <v>6.7500000000000004E-2</v>
      </c>
      <c r="J12" s="19" t="s">
        <v>32</v>
      </c>
      <c r="K12" s="20" t="s">
        <v>30</v>
      </c>
      <c r="L12" s="21" t="s">
        <v>23</v>
      </c>
      <c r="M12" s="7"/>
    </row>
    <row r="13" spans="1:13" x14ac:dyDescent="0.2">
      <c r="A13" s="18" t="s">
        <v>11</v>
      </c>
      <c r="B13" s="19" t="s">
        <v>33</v>
      </c>
      <c r="C13" s="18">
        <f t="shared" si="0"/>
        <v>0.41549999999999998</v>
      </c>
      <c r="D13">
        <v>2</v>
      </c>
      <c r="E13" s="1">
        <v>0.83099999999999996</v>
      </c>
      <c r="F13" s="19" t="s">
        <v>34</v>
      </c>
      <c r="G13" s="18">
        <f t="shared" si="1"/>
        <v>4.4999999999999998E-2</v>
      </c>
      <c r="H13">
        <v>2</v>
      </c>
      <c r="I13" s="1">
        <v>0.09</v>
      </c>
      <c r="J13" s="19" t="s">
        <v>34</v>
      </c>
      <c r="K13" s="20" t="s">
        <v>30</v>
      </c>
      <c r="L13" s="21" t="s">
        <v>23</v>
      </c>
      <c r="M13" s="7"/>
    </row>
    <row r="14" spans="1:13" x14ac:dyDescent="0.2">
      <c r="A14" s="18" t="s">
        <v>11</v>
      </c>
      <c r="B14" s="19" t="s">
        <v>35</v>
      </c>
      <c r="C14" s="18">
        <f t="shared" si="0"/>
        <v>8.8000000000000005E-3</v>
      </c>
      <c r="D14">
        <v>1</v>
      </c>
      <c r="E14" s="1">
        <v>8.8000000000000005E-3</v>
      </c>
      <c r="F14" s="19" t="s">
        <v>36</v>
      </c>
      <c r="G14" s="18">
        <f t="shared" si="1"/>
        <v>3.5999999999999997E-2</v>
      </c>
      <c r="H14">
        <v>1</v>
      </c>
      <c r="I14" s="1">
        <v>3.5999999999999997E-2</v>
      </c>
      <c r="J14" s="19" t="s">
        <v>36</v>
      </c>
      <c r="K14" s="20" t="s">
        <v>22</v>
      </c>
      <c r="L14" s="21" t="s">
        <v>23</v>
      </c>
      <c r="M14" s="7"/>
    </row>
    <row r="15" spans="1:13" x14ac:dyDescent="0.2">
      <c r="A15" s="18" t="s">
        <v>11</v>
      </c>
      <c r="B15" s="19" t="s">
        <v>37</v>
      </c>
      <c r="C15" s="18">
        <f t="shared" si="0"/>
        <v>0.1744</v>
      </c>
      <c r="D15">
        <v>1</v>
      </c>
      <c r="E15" s="1">
        <v>0.1744</v>
      </c>
      <c r="F15" s="19" t="s">
        <v>38</v>
      </c>
      <c r="G15" s="18">
        <f t="shared" si="1"/>
        <v>5.3999999999999999E-2</v>
      </c>
      <c r="H15">
        <v>1</v>
      </c>
      <c r="I15" s="1">
        <v>5.3999999999999999E-2</v>
      </c>
      <c r="J15" s="19" t="s">
        <v>38</v>
      </c>
      <c r="K15" s="20" t="s">
        <v>22</v>
      </c>
      <c r="L15" s="21" t="s">
        <v>23</v>
      </c>
      <c r="M15" s="7"/>
    </row>
    <row r="16" spans="1:13" x14ac:dyDescent="0.2">
      <c r="A16" s="18" t="s">
        <v>11</v>
      </c>
      <c r="B16" s="19" t="s">
        <v>39</v>
      </c>
      <c r="C16" s="18">
        <f t="shared" si="0"/>
        <v>0.66479999999999995</v>
      </c>
      <c r="D16">
        <v>1</v>
      </c>
      <c r="E16" s="1">
        <v>0.66479999999999995</v>
      </c>
      <c r="F16" s="19" t="s">
        <v>40</v>
      </c>
      <c r="G16" s="18">
        <f t="shared" si="1"/>
        <v>7.1999999999999995E-2</v>
      </c>
      <c r="H16">
        <v>1</v>
      </c>
      <c r="I16" s="1">
        <v>7.1999999999999995E-2</v>
      </c>
      <c r="J16" s="19" t="s">
        <v>40</v>
      </c>
      <c r="K16" s="20" t="s">
        <v>22</v>
      </c>
      <c r="L16" s="21" t="s">
        <v>23</v>
      </c>
      <c r="M16" s="7"/>
    </row>
    <row r="17" spans="1:13" x14ac:dyDescent="0.2">
      <c r="A17" s="18" t="s">
        <v>11</v>
      </c>
      <c r="B17" s="19" t="s">
        <v>41</v>
      </c>
      <c r="C17" s="18">
        <f t="shared" si="0"/>
        <v>5.4999999999999997E-3</v>
      </c>
      <c r="D17">
        <v>2</v>
      </c>
      <c r="E17" s="1">
        <v>1.0999999999999999E-2</v>
      </c>
      <c r="F17" s="19" t="s">
        <v>29</v>
      </c>
      <c r="G17" s="18">
        <f t="shared" si="1"/>
        <v>2.2499999999999999E-2</v>
      </c>
      <c r="H17">
        <v>2</v>
      </c>
      <c r="I17" s="1">
        <v>4.4999999999999998E-2</v>
      </c>
      <c r="J17" s="19" t="s">
        <v>29</v>
      </c>
      <c r="K17" s="20" t="s">
        <v>22</v>
      </c>
      <c r="L17" s="21" t="s">
        <v>23</v>
      </c>
      <c r="M17" s="7"/>
    </row>
    <row r="18" spans="1:13" x14ac:dyDescent="0.2">
      <c r="A18" s="18" t="s">
        <v>11</v>
      </c>
      <c r="B18" s="19" t="s">
        <v>42</v>
      </c>
      <c r="C18" s="18">
        <f t="shared" si="0"/>
        <v>0.109</v>
      </c>
      <c r="D18">
        <v>2</v>
      </c>
      <c r="E18" s="1">
        <v>0.218</v>
      </c>
      <c r="F18" s="19" t="s">
        <v>32</v>
      </c>
      <c r="G18" s="18">
        <f t="shared" si="1"/>
        <v>3.3750000000000002E-2</v>
      </c>
      <c r="H18">
        <v>2</v>
      </c>
      <c r="I18" s="1">
        <v>6.7500000000000004E-2</v>
      </c>
      <c r="J18" s="19" t="s">
        <v>32</v>
      </c>
      <c r="K18" s="20" t="s">
        <v>22</v>
      </c>
      <c r="L18" s="21" t="s">
        <v>23</v>
      </c>
      <c r="M18" s="7"/>
    </row>
    <row r="19" spans="1:13" x14ac:dyDescent="0.2">
      <c r="A19" s="18" t="s">
        <v>11</v>
      </c>
      <c r="B19" s="19" t="s">
        <v>43</v>
      </c>
      <c r="C19" s="18">
        <f t="shared" si="0"/>
        <v>0.41549999999999998</v>
      </c>
      <c r="D19">
        <v>2</v>
      </c>
      <c r="E19" s="1">
        <v>0.83099999999999996</v>
      </c>
      <c r="F19" s="19" t="s">
        <v>34</v>
      </c>
      <c r="G19" s="18">
        <f t="shared" si="1"/>
        <v>4.4999999999999998E-2</v>
      </c>
      <c r="H19">
        <v>2</v>
      </c>
      <c r="I19" s="1">
        <v>0.09</v>
      </c>
      <c r="J19" s="19" t="s">
        <v>34</v>
      </c>
      <c r="K19" s="20" t="s">
        <v>22</v>
      </c>
      <c r="L19" s="21" t="s">
        <v>23</v>
      </c>
      <c r="M19" s="7"/>
    </row>
    <row r="20" spans="1:13" x14ac:dyDescent="0.2">
      <c r="A20" s="18" t="s">
        <v>11</v>
      </c>
      <c r="B20" s="19" t="s">
        <v>44</v>
      </c>
      <c r="C20" s="18">
        <f t="shared" si="0"/>
        <v>5.4999999999999997E-3</v>
      </c>
      <c r="D20">
        <v>2</v>
      </c>
      <c r="E20" s="1">
        <v>1.0999999999999999E-2</v>
      </c>
      <c r="F20" s="19" t="s">
        <v>21</v>
      </c>
      <c r="G20" s="18">
        <f t="shared" si="1"/>
        <v>0</v>
      </c>
      <c r="H20">
        <v>2</v>
      </c>
      <c r="I20" s="1">
        <v>0</v>
      </c>
      <c r="J20" s="19" t="s">
        <v>14</v>
      </c>
      <c r="K20" s="20" t="s">
        <v>22</v>
      </c>
      <c r="L20" s="21" t="s">
        <v>23</v>
      </c>
      <c r="M20" s="7"/>
    </row>
    <row r="21" spans="1:13" x14ac:dyDescent="0.2">
      <c r="A21" s="18" t="s">
        <v>11</v>
      </c>
      <c r="B21" s="19" t="s">
        <v>45</v>
      </c>
      <c r="C21" s="18">
        <f t="shared" si="0"/>
        <v>1.55E-2</v>
      </c>
      <c r="D21">
        <v>2</v>
      </c>
      <c r="E21" s="1">
        <v>3.1E-2</v>
      </c>
      <c r="F21" s="19" t="s">
        <v>25</v>
      </c>
      <c r="G21" s="18">
        <f t="shared" si="1"/>
        <v>0</v>
      </c>
      <c r="H21">
        <v>2</v>
      </c>
      <c r="I21" s="1">
        <v>0</v>
      </c>
      <c r="J21" s="19" t="s">
        <v>14</v>
      </c>
      <c r="K21" s="20" t="s">
        <v>22</v>
      </c>
      <c r="L21" s="21" t="s">
        <v>23</v>
      </c>
      <c r="M21" s="7"/>
    </row>
    <row r="22" spans="1:13" x14ac:dyDescent="0.2">
      <c r="A22" s="18" t="s">
        <v>11</v>
      </c>
      <c r="B22" s="19" t="s">
        <v>46</v>
      </c>
      <c r="C22" s="18">
        <f t="shared" si="0"/>
        <v>4.2000000000000003E-2</v>
      </c>
      <c r="D22">
        <v>2</v>
      </c>
      <c r="E22" s="1">
        <v>8.4000000000000005E-2</v>
      </c>
      <c r="F22" s="19" t="s">
        <v>27</v>
      </c>
      <c r="G22" s="18">
        <f t="shared" si="1"/>
        <v>0</v>
      </c>
      <c r="H22">
        <v>2</v>
      </c>
      <c r="I22" s="1">
        <v>0</v>
      </c>
      <c r="J22" s="19" t="s">
        <v>14</v>
      </c>
      <c r="K22" s="20" t="s">
        <v>22</v>
      </c>
      <c r="L22" s="21" t="s">
        <v>23</v>
      </c>
      <c r="M22" s="7"/>
    </row>
    <row r="23" spans="1:13" x14ac:dyDescent="0.2">
      <c r="A23" s="18" t="s">
        <v>11</v>
      </c>
      <c r="B23" s="19" t="s">
        <v>47</v>
      </c>
      <c r="C23" s="18">
        <f t="shared" si="0"/>
        <v>2.7499999999999998E-3</v>
      </c>
      <c r="D23">
        <v>4</v>
      </c>
      <c r="E23" s="1">
        <v>1.0999999999999999E-2</v>
      </c>
      <c r="F23" s="19" t="s">
        <v>21</v>
      </c>
      <c r="G23" s="18">
        <f t="shared" si="1"/>
        <v>0</v>
      </c>
      <c r="H23">
        <v>4</v>
      </c>
      <c r="I23" s="1">
        <v>0</v>
      </c>
      <c r="J23" s="19" t="s">
        <v>14</v>
      </c>
      <c r="K23" s="20" t="s">
        <v>22</v>
      </c>
      <c r="L23" s="21" t="s">
        <v>23</v>
      </c>
      <c r="M23" s="7"/>
    </row>
    <row r="24" spans="1:13" x14ac:dyDescent="0.2">
      <c r="A24" s="18" t="s">
        <v>11</v>
      </c>
      <c r="B24" s="19" t="s">
        <v>48</v>
      </c>
      <c r="C24" s="18">
        <f t="shared" si="0"/>
        <v>2.7499999999999998E-3</v>
      </c>
      <c r="D24">
        <v>4</v>
      </c>
      <c r="E24" s="1">
        <v>1.0999999999999999E-2</v>
      </c>
      <c r="F24" s="19" t="s">
        <v>29</v>
      </c>
      <c r="G24" s="18">
        <f t="shared" si="1"/>
        <v>1.125E-2</v>
      </c>
      <c r="H24">
        <v>4</v>
      </c>
      <c r="I24" s="1">
        <v>4.4999999999999998E-2</v>
      </c>
      <c r="J24" s="19" t="s">
        <v>29</v>
      </c>
      <c r="K24" s="20" t="s">
        <v>22</v>
      </c>
      <c r="L24" s="21" t="s">
        <v>23</v>
      </c>
      <c r="M24" s="7"/>
    </row>
    <row r="25" spans="1:13" x14ac:dyDescent="0.2">
      <c r="A25" s="18" t="s">
        <v>11</v>
      </c>
      <c r="B25" s="19" t="s">
        <v>49</v>
      </c>
      <c r="C25" s="18">
        <f t="shared" si="0"/>
        <v>4.4000000000000003E-3</v>
      </c>
      <c r="D25">
        <v>2</v>
      </c>
      <c r="E25" s="1">
        <v>8.8000000000000005E-3</v>
      </c>
      <c r="F25" s="19" t="s">
        <v>36</v>
      </c>
      <c r="G25" s="18">
        <f t="shared" si="1"/>
        <v>1.7999999999999999E-2</v>
      </c>
      <c r="H25">
        <v>2</v>
      </c>
      <c r="I25" s="1">
        <v>3.5999999999999997E-2</v>
      </c>
      <c r="J25" s="19" t="s">
        <v>36</v>
      </c>
      <c r="K25" s="20" t="s">
        <v>22</v>
      </c>
      <c r="L25" s="21" t="s">
        <v>23</v>
      </c>
      <c r="M25" s="7"/>
    </row>
    <row r="26" spans="1:13" x14ac:dyDescent="0.2">
      <c r="A26" s="18" t="s">
        <v>11</v>
      </c>
      <c r="B26" s="19" t="s">
        <v>50</v>
      </c>
      <c r="C26" s="18">
        <f t="shared" si="0"/>
        <v>2.7499999999999998E-3</v>
      </c>
      <c r="D26">
        <v>4</v>
      </c>
      <c r="E26" s="1">
        <v>1.0999999999999999E-2</v>
      </c>
      <c r="F26" s="19" t="s">
        <v>29</v>
      </c>
      <c r="G26" s="18">
        <f t="shared" si="1"/>
        <v>1.125E-2</v>
      </c>
      <c r="H26">
        <v>4</v>
      </c>
      <c r="I26" s="1">
        <v>4.4999999999999998E-2</v>
      </c>
      <c r="J26" s="19" t="s">
        <v>29</v>
      </c>
      <c r="K26" s="20" t="s">
        <v>22</v>
      </c>
      <c r="L26" s="21" t="s">
        <v>23</v>
      </c>
      <c r="M26" s="7"/>
    </row>
    <row r="27" spans="1:13" x14ac:dyDescent="0.2">
      <c r="A27" s="18" t="s">
        <v>11</v>
      </c>
      <c r="B27" s="19" t="s">
        <v>51</v>
      </c>
      <c r="C27" s="18">
        <f t="shared" si="0"/>
        <v>2.7499999999999998E-3</v>
      </c>
      <c r="D27">
        <v>4</v>
      </c>
      <c r="E27" s="1">
        <v>1.0999999999999999E-2</v>
      </c>
      <c r="F27" s="19" t="s">
        <v>21</v>
      </c>
      <c r="G27" s="18">
        <f t="shared" si="1"/>
        <v>0</v>
      </c>
      <c r="H27">
        <v>4</v>
      </c>
      <c r="I27" s="22">
        <v>0</v>
      </c>
      <c r="J27" s="19" t="s">
        <v>14</v>
      </c>
      <c r="K27" s="20" t="s">
        <v>22</v>
      </c>
      <c r="L27" s="21" t="s">
        <v>23</v>
      </c>
      <c r="M27" s="7"/>
    </row>
    <row r="28" spans="1:13" x14ac:dyDescent="0.2">
      <c r="A28" s="18" t="s">
        <v>11</v>
      </c>
      <c r="B28" s="19" t="s">
        <v>52</v>
      </c>
      <c r="C28" s="18">
        <f t="shared" si="0"/>
        <v>1.7000000000000001E-2</v>
      </c>
      <c r="D28">
        <v>1</v>
      </c>
      <c r="E28" s="1">
        <v>1.7000000000000001E-2</v>
      </c>
      <c r="F28" s="19" t="s">
        <v>53</v>
      </c>
      <c r="G28" s="18">
        <f t="shared" si="1"/>
        <v>2.2499999999999999E-2</v>
      </c>
      <c r="H28">
        <v>1</v>
      </c>
      <c r="I28" s="1">
        <v>2.2499999999999999E-2</v>
      </c>
      <c r="J28" s="19" t="s">
        <v>54</v>
      </c>
      <c r="K28" s="20" t="s">
        <v>55</v>
      </c>
      <c r="L28" s="21" t="s">
        <v>56</v>
      </c>
      <c r="M28" s="7"/>
    </row>
    <row r="29" spans="1:13" x14ac:dyDescent="0.2">
      <c r="A29" s="18" t="s">
        <v>11</v>
      </c>
      <c r="B29" s="19" t="s">
        <v>57</v>
      </c>
      <c r="C29" s="18">
        <f t="shared" si="0"/>
        <v>2.8000000000000001E-2</v>
      </c>
      <c r="D29">
        <v>1</v>
      </c>
      <c r="E29" s="1">
        <v>2.8000000000000001E-2</v>
      </c>
      <c r="F29" s="19" t="s">
        <v>58</v>
      </c>
      <c r="G29" s="18">
        <f t="shared" si="1"/>
        <v>0.22500000000000001</v>
      </c>
      <c r="H29">
        <v>1</v>
      </c>
      <c r="I29" s="1">
        <v>0.22500000000000001</v>
      </c>
      <c r="J29" s="19" t="s">
        <v>59</v>
      </c>
      <c r="K29" s="20" t="s">
        <v>55</v>
      </c>
      <c r="L29" s="21" t="s">
        <v>56</v>
      </c>
      <c r="M29" s="7"/>
    </row>
    <row r="30" spans="1:13" x14ac:dyDescent="0.2">
      <c r="A30" s="18" t="s">
        <v>11</v>
      </c>
      <c r="B30" s="19" t="s">
        <v>60</v>
      </c>
      <c r="C30" s="18">
        <f t="shared" si="0"/>
        <v>0.88400000000000001</v>
      </c>
      <c r="D30">
        <v>1</v>
      </c>
      <c r="E30" s="1">
        <v>0.88400000000000001</v>
      </c>
      <c r="F30" s="19" t="s">
        <v>61</v>
      </c>
      <c r="G30" s="18">
        <f t="shared" si="1"/>
        <v>0.45</v>
      </c>
      <c r="H30">
        <v>1</v>
      </c>
      <c r="I30" s="1">
        <v>0.45</v>
      </c>
      <c r="J30" s="19" t="s">
        <v>62</v>
      </c>
      <c r="K30" s="20" t="s">
        <v>55</v>
      </c>
      <c r="L30" s="21" t="s">
        <v>56</v>
      </c>
      <c r="M30" s="7"/>
    </row>
    <row r="31" spans="1:13" x14ac:dyDescent="0.2">
      <c r="A31" s="18" t="s">
        <v>11</v>
      </c>
      <c r="B31" s="19" t="s">
        <v>63</v>
      </c>
      <c r="C31" s="18">
        <f t="shared" si="0"/>
        <v>8.5000000000000006E-3</v>
      </c>
      <c r="D31">
        <v>2</v>
      </c>
      <c r="E31" s="1">
        <v>1.7000000000000001E-2</v>
      </c>
      <c r="F31" s="19" t="s">
        <v>53</v>
      </c>
      <c r="G31" s="18">
        <f t="shared" si="1"/>
        <v>1.125E-2</v>
      </c>
      <c r="H31">
        <v>2</v>
      </c>
      <c r="I31" s="1">
        <v>2.2499999999999999E-2</v>
      </c>
      <c r="J31" s="19" t="s">
        <v>54</v>
      </c>
      <c r="K31" s="20" t="s">
        <v>55</v>
      </c>
      <c r="L31" s="21" t="s">
        <v>56</v>
      </c>
      <c r="M31" s="7"/>
    </row>
    <row r="32" spans="1:13" x14ac:dyDescent="0.2">
      <c r="A32" s="18" t="s">
        <v>11</v>
      </c>
      <c r="B32" s="19" t="s">
        <v>64</v>
      </c>
      <c r="C32" s="18">
        <f t="shared" si="0"/>
        <v>0</v>
      </c>
      <c r="D32">
        <v>1</v>
      </c>
      <c r="E32" s="1">
        <v>0</v>
      </c>
      <c r="F32" s="19" t="s">
        <v>65</v>
      </c>
      <c r="G32" s="18">
        <f t="shared" si="1"/>
        <v>0.315</v>
      </c>
      <c r="H32">
        <v>1</v>
      </c>
      <c r="I32" s="1">
        <v>0.315</v>
      </c>
      <c r="J32" s="19" t="s">
        <v>65</v>
      </c>
      <c r="K32" s="20" t="s">
        <v>66</v>
      </c>
      <c r="L32" s="21" t="s">
        <v>67</v>
      </c>
      <c r="M32" s="7"/>
    </row>
    <row r="33" spans="1:14" x14ac:dyDescent="0.2">
      <c r="A33" s="18" t="s">
        <v>11</v>
      </c>
      <c r="B33" s="19" t="s">
        <v>68</v>
      </c>
      <c r="C33" s="18">
        <f t="shared" si="0"/>
        <v>0</v>
      </c>
      <c r="D33">
        <v>1</v>
      </c>
      <c r="E33" s="1">
        <v>0</v>
      </c>
      <c r="F33" s="19" t="s">
        <v>65</v>
      </c>
      <c r="G33" s="18">
        <f t="shared" si="1"/>
        <v>0.315</v>
      </c>
      <c r="H33">
        <v>1</v>
      </c>
      <c r="I33" s="1">
        <v>0.315</v>
      </c>
      <c r="J33" s="19" t="s">
        <v>65</v>
      </c>
      <c r="K33" s="20" t="s">
        <v>66</v>
      </c>
      <c r="L33" s="21" t="s">
        <v>67</v>
      </c>
      <c r="M33" s="7"/>
    </row>
    <row r="34" spans="1:14" x14ac:dyDescent="0.2">
      <c r="A34" s="18" t="s">
        <v>11</v>
      </c>
      <c r="B34" s="19" t="s">
        <v>69</v>
      </c>
      <c r="C34" s="18">
        <f t="shared" si="0"/>
        <v>0.49030000000000001</v>
      </c>
      <c r="D34">
        <v>1</v>
      </c>
      <c r="E34" s="1">
        <v>0.49030000000000001</v>
      </c>
      <c r="F34" s="19" t="s">
        <v>70</v>
      </c>
      <c r="G34" s="18">
        <f t="shared" si="1"/>
        <v>0.6</v>
      </c>
      <c r="H34">
        <v>1</v>
      </c>
      <c r="I34" s="1">
        <v>0.6</v>
      </c>
      <c r="J34" s="19" t="s">
        <v>71</v>
      </c>
      <c r="K34" s="20" t="s">
        <v>66</v>
      </c>
      <c r="L34" s="21" t="s">
        <v>67</v>
      </c>
      <c r="M34" s="7"/>
    </row>
    <row r="35" spans="1:14" x14ac:dyDescent="0.2">
      <c r="A35" s="18" t="s">
        <v>11</v>
      </c>
      <c r="B35" s="19" t="s">
        <v>72</v>
      </c>
      <c r="C35" s="18">
        <f t="shared" si="0"/>
        <v>0</v>
      </c>
      <c r="D35">
        <v>1</v>
      </c>
      <c r="E35" s="1">
        <v>0</v>
      </c>
      <c r="F35" s="19" t="s">
        <v>13</v>
      </c>
      <c r="G35" s="18">
        <f t="shared" si="1"/>
        <v>0</v>
      </c>
      <c r="H35">
        <v>1</v>
      </c>
      <c r="I35" s="1">
        <v>0</v>
      </c>
      <c r="J35" s="19" t="s">
        <v>13</v>
      </c>
      <c r="K35" s="20" t="s">
        <v>14</v>
      </c>
      <c r="L35" s="21">
        <v>0</v>
      </c>
      <c r="M35" s="7"/>
    </row>
    <row r="36" spans="1:14" x14ac:dyDescent="0.2">
      <c r="A36" s="18" t="s">
        <v>11</v>
      </c>
      <c r="B36" s="19" t="s">
        <v>73</v>
      </c>
      <c r="C36" s="18">
        <f t="shared" si="0"/>
        <v>0</v>
      </c>
      <c r="D36">
        <v>1</v>
      </c>
      <c r="E36" s="1">
        <v>0</v>
      </c>
      <c r="F36" s="19" t="s">
        <v>13</v>
      </c>
      <c r="G36" s="18">
        <f t="shared" si="1"/>
        <v>0</v>
      </c>
      <c r="H36">
        <v>1</v>
      </c>
      <c r="I36" s="1">
        <v>0</v>
      </c>
      <c r="J36" s="19" t="s">
        <v>13</v>
      </c>
      <c r="K36" s="20" t="s">
        <v>14</v>
      </c>
      <c r="L36" s="21">
        <v>0</v>
      </c>
      <c r="M36" s="7"/>
    </row>
    <row r="37" spans="1:14" x14ac:dyDescent="0.2">
      <c r="A37" s="18" t="s">
        <v>11</v>
      </c>
      <c r="B37" s="19" t="s">
        <v>74</v>
      </c>
      <c r="C37" s="18">
        <f t="shared" si="0"/>
        <v>0</v>
      </c>
      <c r="D37">
        <v>1</v>
      </c>
      <c r="E37" s="1">
        <v>0</v>
      </c>
      <c r="F37" s="19" t="s">
        <v>13</v>
      </c>
      <c r="G37" s="18">
        <f t="shared" si="1"/>
        <v>0</v>
      </c>
      <c r="H37">
        <v>1</v>
      </c>
      <c r="I37" s="1">
        <v>0</v>
      </c>
      <c r="J37" s="19" t="s">
        <v>13</v>
      </c>
      <c r="K37" s="20" t="s">
        <v>14</v>
      </c>
      <c r="L37" s="21">
        <v>0</v>
      </c>
      <c r="M37" s="7"/>
    </row>
    <row r="38" spans="1:14" x14ac:dyDescent="0.2">
      <c r="A38" s="18" t="s">
        <v>75</v>
      </c>
      <c r="B38" s="19" t="s">
        <v>76</v>
      </c>
      <c r="C38" s="23">
        <f t="shared" si="0"/>
        <v>8.2500000000000004E-3</v>
      </c>
      <c r="D38">
        <v>2</v>
      </c>
      <c r="E38" s="1">
        <f>N38*E8</f>
        <v>1.6500000000000001E-2</v>
      </c>
      <c r="F38" s="19" t="s">
        <v>21</v>
      </c>
      <c r="G38" s="18">
        <f t="shared" si="1"/>
        <v>0</v>
      </c>
      <c r="H38">
        <v>1</v>
      </c>
      <c r="I38" s="1">
        <v>0</v>
      </c>
      <c r="J38" s="19" t="s">
        <v>14</v>
      </c>
      <c r="K38" s="20" t="s">
        <v>77</v>
      </c>
      <c r="L38" s="21" t="s">
        <v>78</v>
      </c>
      <c r="M38" s="7"/>
      <c r="N38">
        <v>1.5</v>
      </c>
    </row>
    <row r="39" spans="1:14" x14ac:dyDescent="0.2">
      <c r="A39" s="18" t="s">
        <v>75</v>
      </c>
      <c r="B39" s="19" t="s">
        <v>79</v>
      </c>
      <c r="C39" s="23">
        <f t="shared" si="0"/>
        <v>2.325E-2</v>
      </c>
      <c r="D39">
        <v>2</v>
      </c>
      <c r="E39" s="1">
        <f t="shared" ref="E39:E52" si="2">N39*E9</f>
        <v>4.65E-2</v>
      </c>
      <c r="F39" s="19" t="s">
        <v>25</v>
      </c>
      <c r="G39" s="18">
        <f t="shared" si="1"/>
        <v>0</v>
      </c>
      <c r="H39">
        <v>1</v>
      </c>
      <c r="I39" s="1">
        <v>0</v>
      </c>
      <c r="J39" s="19" t="s">
        <v>14</v>
      </c>
      <c r="K39" s="20" t="s">
        <v>77</v>
      </c>
      <c r="L39" s="21" t="s">
        <v>78</v>
      </c>
      <c r="M39" s="7"/>
      <c r="N39">
        <v>1.5</v>
      </c>
    </row>
    <row r="40" spans="1:14" x14ac:dyDescent="0.2">
      <c r="A40" s="18" t="s">
        <v>75</v>
      </c>
      <c r="B40" s="19" t="s">
        <v>80</v>
      </c>
      <c r="C40" s="23">
        <f t="shared" si="0"/>
        <v>6.3E-2</v>
      </c>
      <c r="D40">
        <v>2</v>
      </c>
      <c r="E40" s="1">
        <f t="shared" si="2"/>
        <v>0.126</v>
      </c>
      <c r="F40" s="19" t="s">
        <v>27</v>
      </c>
      <c r="G40" s="18">
        <f t="shared" si="1"/>
        <v>0</v>
      </c>
      <c r="H40">
        <v>1</v>
      </c>
      <c r="I40" s="1">
        <v>0</v>
      </c>
      <c r="J40" s="19" t="s">
        <v>14</v>
      </c>
      <c r="K40" s="20" t="s">
        <v>77</v>
      </c>
      <c r="L40" s="21" t="s">
        <v>78</v>
      </c>
      <c r="M40" s="7"/>
      <c r="N40">
        <v>1.5</v>
      </c>
    </row>
    <row r="41" spans="1:14" x14ac:dyDescent="0.2">
      <c r="A41" s="18" t="s">
        <v>75</v>
      </c>
      <c r="B41" s="19" t="s">
        <v>81</v>
      </c>
      <c r="C41" s="23">
        <f t="shared" si="0"/>
        <v>8.2500000000000004E-3</v>
      </c>
      <c r="D41">
        <v>2</v>
      </c>
      <c r="E41" s="1">
        <f t="shared" si="2"/>
        <v>1.6500000000000001E-2</v>
      </c>
      <c r="F41" s="19" t="s">
        <v>29</v>
      </c>
      <c r="G41" s="18">
        <f t="shared" si="1"/>
        <v>0</v>
      </c>
      <c r="H41">
        <v>1</v>
      </c>
      <c r="I41" s="1">
        <v>0</v>
      </c>
      <c r="J41" s="19" t="s">
        <v>14</v>
      </c>
      <c r="K41" s="20" t="s">
        <v>77</v>
      </c>
      <c r="L41" s="21" t="s">
        <v>78</v>
      </c>
      <c r="M41" s="7"/>
      <c r="N41">
        <v>1.5</v>
      </c>
    </row>
    <row r="42" spans="1:14" x14ac:dyDescent="0.2">
      <c r="A42" s="18" t="s">
        <v>75</v>
      </c>
      <c r="B42" s="19" t="s">
        <v>82</v>
      </c>
      <c r="C42" s="23">
        <f t="shared" si="0"/>
        <v>0.16350000000000001</v>
      </c>
      <c r="D42">
        <v>2</v>
      </c>
      <c r="E42" s="1">
        <f t="shared" si="2"/>
        <v>0.32700000000000001</v>
      </c>
      <c r="F42" s="19" t="s">
        <v>32</v>
      </c>
      <c r="G42" s="18">
        <f t="shared" si="1"/>
        <v>0</v>
      </c>
      <c r="H42">
        <v>1</v>
      </c>
      <c r="I42" s="1">
        <v>0</v>
      </c>
      <c r="J42" s="19" t="s">
        <v>14</v>
      </c>
      <c r="K42" s="20" t="s">
        <v>77</v>
      </c>
      <c r="L42" s="21" t="s">
        <v>78</v>
      </c>
      <c r="M42" s="7"/>
      <c r="N42">
        <v>1.5</v>
      </c>
    </row>
    <row r="43" spans="1:14" x14ac:dyDescent="0.2">
      <c r="A43" s="18" t="s">
        <v>75</v>
      </c>
      <c r="B43" s="19" t="s">
        <v>83</v>
      </c>
      <c r="C43" s="23">
        <f t="shared" si="0"/>
        <v>0.62324999999999997</v>
      </c>
      <c r="D43">
        <v>2</v>
      </c>
      <c r="E43" s="1">
        <f t="shared" si="2"/>
        <v>1.2464999999999999</v>
      </c>
      <c r="F43" s="19" t="s">
        <v>34</v>
      </c>
      <c r="G43" s="18">
        <f t="shared" si="1"/>
        <v>0</v>
      </c>
      <c r="H43">
        <v>1</v>
      </c>
      <c r="I43" s="1">
        <v>0</v>
      </c>
      <c r="J43" s="19" t="s">
        <v>14</v>
      </c>
      <c r="K43" s="20" t="s">
        <v>77</v>
      </c>
      <c r="L43" s="21" t="s">
        <v>78</v>
      </c>
      <c r="M43" s="7"/>
      <c r="N43">
        <v>1.5</v>
      </c>
    </row>
    <row r="44" spans="1:14" x14ac:dyDescent="0.2">
      <c r="A44" s="18" t="s">
        <v>75</v>
      </c>
      <c r="B44" s="19" t="s">
        <v>84</v>
      </c>
      <c r="C44" s="23">
        <f t="shared" si="0"/>
        <v>1.32E-2</v>
      </c>
      <c r="D44">
        <v>1</v>
      </c>
      <c r="E44" s="1">
        <f t="shared" si="2"/>
        <v>1.32E-2</v>
      </c>
      <c r="F44" s="19" t="s">
        <v>36</v>
      </c>
      <c r="G44" s="18">
        <f t="shared" si="1"/>
        <v>0</v>
      </c>
      <c r="H44">
        <v>1</v>
      </c>
      <c r="I44" s="1">
        <v>0</v>
      </c>
      <c r="J44" s="19" t="s">
        <v>14</v>
      </c>
      <c r="K44" s="20" t="s">
        <v>77</v>
      </c>
      <c r="L44" s="21" t="s">
        <v>78</v>
      </c>
      <c r="M44" s="7"/>
      <c r="N44">
        <v>1.5</v>
      </c>
    </row>
    <row r="45" spans="1:14" x14ac:dyDescent="0.2">
      <c r="A45" s="18" t="s">
        <v>75</v>
      </c>
      <c r="B45" s="19" t="s">
        <v>85</v>
      </c>
      <c r="C45" s="23">
        <f t="shared" si="0"/>
        <v>0.2616</v>
      </c>
      <c r="D45">
        <v>1</v>
      </c>
      <c r="E45" s="1">
        <f t="shared" si="2"/>
        <v>0.2616</v>
      </c>
      <c r="F45" s="19" t="s">
        <v>38</v>
      </c>
      <c r="G45" s="18">
        <f t="shared" si="1"/>
        <v>0</v>
      </c>
      <c r="H45">
        <v>1</v>
      </c>
      <c r="I45" s="1">
        <v>0</v>
      </c>
      <c r="J45" s="19" t="s">
        <v>14</v>
      </c>
      <c r="K45" s="20" t="s">
        <v>77</v>
      </c>
      <c r="L45" s="21" t="s">
        <v>78</v>
      </c>
      <c r="M45" s="7"/>
      <c r="N45">
        <v>1.5</v>
      </c>
    </row>
    <row r="46" spans="1:14" x14ac:dyDescent="0.2">
      <c r="A46" s="18" t="s">
        <v>75</v>
      </c>
      <c r="B46" s="19" t="s">
        <v>86</v>
      </c>
      <c r="C46" s="23">
        <f t="shared" si="0"/>
        <v>0.99719999999999986</v>
      </c>
      <c r="D46">
        <v>1</v>
      </c>
      <c r="E46" s="1">
        <f t="shared" si="2"/>
        <v>0.99719999999999986</v>
      </c>
      <c r="F46" s="19" t="s">
        <v>40</v>
      </c>
      <c r="G46" s="18">
        <f t="shared" si="1"/>
        <v>0</v>
      </c>
      <c r="H46">
        <v>1</v>
      </c>
      <c r="I46" s="1">
        <v>0</v>
      </c>
      <c r="J46" s="19" t="s">
        <v>14</v>
      </c>
      <c r="K46" s="20" t="s">
        <v>77</v>
      </c>
      <c r="L46" s="21" t="s">
        <v>78</v>
      </c>
      <c r="M46" s="7"/>
      <c r="N46">
        <v>1.5</v>
      </c>
    </row>
    <row r="47" spans="1:14" x14ac:dyDescent="0.2">
      <c r="A47" s="18" t="s">
        <v>75</v>
      </c>
      <c r="B47" s="19" t="s">
        <v>87</v>
      </c>
      <c r="C47" s="23">
        <f t="shared" si="0"/>
        <v>8.2500000000000004E-3</v>
      </c>
      <c r="D47">
        <v>2</v>
      </c>
      <c r="E47" s="1">
        <f t="shared" si="2"/>
        <v>1.6500000000000001E-2</v>
      </c>
      <c r="F47" s="19" t="s">
        <v>29</v>
      </c>
      <c r="G47" s="18">
        <f t="shared" si="1"/>
        <v>0</v>
      </c>
      <c r="H47">
        <v>1</v>
      </c>
      <c r="I47" s="1">
        <v>0</v>
      </c>
      <c r="J47" s="19" t="s">
        <v>14</v>
      </c>
      <c r="K47" s="20" t="s">
        <v>77</v>
      </c>
      <c r="L47" s="21" t="s">
        <v>78</v>
      </c>
      <c r="M47" s="7"/>
      <c r="N47">
        <v>1.5</v>
      </c>
    </row>
    <row r="48" spans="1:14" x14ac:dyDescent="0.2">
      <c r="A48" s="18" t="s">
        <v>75</v>
      </c>
      <c r="B48" s="19" t="s">
        <v>88</v>
      </c>
      <c r="C48" s="23">
        <f t="shared" si="0"/>
        <v>0.16350000000000001</v>
      </c>
      <c r="D48">
        <v>2</v>
      </c>
      <c r="E48" s="1">
        <f t="shared" si="2"/>
        <v>0.32700000000000001</v>
      </c>
      <c r="F48" s="19" t="s">
        <v>32</v>
      </c>
      <c r="G48" s="18">
        <f t="shared" si="1"/>
        <v>0</v>
      </c>
      <c r="H48">
        <v>1</v>
      </c>
      <c r="I48" s="1">
        <v>0</v>
      </c>
      <c r="J48" s="19" t="s">
        <v>14</v>
      </c>
      <c r="K48" s="20" t="s">
        <v>77</v>
      </c>
      <c r="L48" s="21" t="s">
        <v>78</v>
      </c>
      <c r="M48" s="7"/>
      <c r="N48">
        <v>1.5</v>
      </c>
    </row>
    <row r="49" spans="1:14" x14ac:dyDescent="0.2">
      <c r="A49" s="18" t="s">
        <v>75</v>
      </c>
      <c r="B49" s="19" t="s">
        <v>89</v>
      </c>
      <c r="C49" s="23">
        <f t="shared" si="0"/>
        <v>0.62324999999999997</v>
      </c>
      <c r="D49">
        <v>2</v>
      </c>
      <c r="E49" s="1">
        <f t="shared" si="2"/>
        <v>1.2464999999999999</v>
      </c>
      <c r="F49" s="19" t="s">
        <v>34</v>
      </c>
      <c r="G49" s="18">
        <f t="shared" si="1"/>
        <v>0</v>
      </c>
      <c r="H49">
        <v>1</v>
      </c>
      <c r="I49" s="1">
        <v>0</v>
      </c>
      <c r="J49" s="19" t="s">
        <v>14</v>
      </c>
      <c r="K49" s="20" t="s">
        <v>77</v>
      </c>
      <c r="L49" s="21" t="s">
        <v>78</v>
      </c>
      <c r="M49" s="7"/>
      <c r="N49">
        <v>1.5</v>
      </c>
    </row>
    <row r="50" spans="1:14" x14ac:dyDescent="0.2">
      <c r="A50" s="18" t="s">
        <v>75</v>
      </c>
      <c r="B50" s="19" t="s">
        <v>90</v>
      </c>
      <c r="C50" s="23">
        <f t="shared" si="0"/>
        <v>8.2500000000000004E-3</v>
      </c>
      <c r="D50">
        <v>2</v>
      </c>
      <c r="E50" s="1">
        <f t="shared" si="2"/>
        <v>1.6500000000000001E-2</v>
      </c>
      <c r="F50" s="19" t="s">
        <v>21</v>
      </c>
      <c r="G50" s="18">
        <f t="shared" si="1"/>
        <v>0</v>
      </c>
      <c r="H50">
        <v>1</v>
      </c>
      <c r="I50" s="1">
        <v>0</v>
      </c>
      <c r="J50" s="19" t="s">
        <v>14</v>
      </c>
      <c r="K50" s="20" t="s">
        <v>77</v>
      </c>
      <c r="L50" s="21" t="s">
        <v>78</v>
      </c>
      <c r="M50" s="7"/>
      <c r="N50">
        <v>1.5</v>
      </c>
    </row>
    <row r="51" spans="1:14" x14ac:dyDescent="0.2">
      <c r="A51" s="18" t="s">
        <v>75</v>
      </c>
      <c r="B51" s="19" t="s">
        <v>91</v>
      </c>
      <c r="C51" s="23">
        <f t="shared" si="0"/>
        <v>2.325E-2</v>
      </c>
      <c r="D51">
        <v>2</v>
      </c>
      <c r="E51" s="1">
        <f t="shared" si="2"/>
        <v>4.65E-2</v>
      </c>
      <c r="F51" s="19" t="s">
        <v>25</v>
      </c>
      <c r="G51" s="18">
        <f t="shared" si="1"/>
        <v>0</v>
      </c>
      <c r="H51">
        <v>1</v>
      </c>
      <c r="I51" s="1">
        <v>0</v>
      </c>
      <c r="J51" s="19" t="s">
        <v>14</v>
      </c>
      <c r="K51" s="20" t="s">
        <v>77</v>
      </c>
      <c r="L51" s="21" t="s">
        <v>78</v>
      </c>
      <c r="M51" s="7"/>
      <c r="N51">
        <v>1.5</v>
      </c>
    </row>
    <row r="52" spans="1:14" x14ac:dyDescent="0.2">
      <c r="A52" s="18" t="s">
        <v>75</v>
      </c>
      <c r="B52" s="19" t="s">
        <v>92</v>
      </c>
      <c r="C52" s="23">
        <f t="shared" si="0"/>
        <v>6.3E-2</v>
      </c>
      <c r="D52">
        <v>2</v>
      </c>
      <c r="E52" s="1">
        <f t="shared" si="2"/>
        <v>0.126</v>
      </c>
      <c r="F52" s="19" t="s">
        <v>27</v>
      </c>
      <c r="G52" s="18">
        <f t="shared" si="1"/>
        <v>0</v>
      </c>
      <c r="H52">
        <v>1</v>
      </c>
      <c r="I52" s="1">
        <v>0</v>
      </c>
      <c r="J52" s="19" t="s">
        <v>14</v>
      </c>
      <c r="K52" s="20" t="s">
        <v>77</v>
      </c>
      <c r="L52" s="21" t="s">
        <v>78</v>
      </c>
      <c r="M52" s="7"/>
      <c r="N52">
        <v>1.5</v>
      </c>
    </row>
    <row r="53" spans="1:14" x14ac:dyDescent="0.2">
      <c r="A53" s="18" t="s">
        <v>75</v>
      </c>
      <c r="B53" s="19" t="s">
        <v>93</v>
      </c>
      <c r="C53" s="18">
        <f t="shared" si="0"/>
        <v>0</v>
      </c>
      <c r="D53">
        <v>1</v>
      </c>
      <c r="E53" s="1">
        <v>0</v>
      </c>
      <c r="F53" s="19" t="s">
        <v>13</v>
      </c>
      <c r="G53" s="18">
        <f t="shared" si="1"/>
        <v>0</v>
      </c>
      <c r="H53">
        <v>1</v>
      </c>
      <c r="I53" s="1">
        <v>0</v>
      </c>
      <c r="J53" s="19" t="s">
        <v>14</v>
      </c>
      <c r="K53" s="20" t="s">
        <v>14</v>
      </c>
      <c r="L53" s="21">
        <v>0</v>
      </c>
      <c r="M53" s="7"/>
    </row>
    <row r="54" spans="1:14" x14ac:dyDescent="0.2">
      <c r="A54" s="18" t="s">
        <v>75</v>
      </c>
      <c r="B54" s="19" t="s">
        <v>94</v>
      </c>
      <c r="C54" s="18">
        <f t="shared" si="0"/>
        <v>0</v>
      </c>
      <c r="D54">
        <v>1</v>
      </c>
      <c r="E54" s="1">
        <v>0</v>
      </c>
      <c r="F54" s="19" t="s">
        <v>13</v>
      </c>
      <c r="G54" s="18">
        <f t="shared" si="1"/>
        <v>0</v>
      </c>
      <c r="H54">
        <v>1</v>
      </c>
      <c r="I54" s="1">
        <v>0</v>
      </c>
      <c r="J54" s="19" t="s">
        <v>14</v>
      </c>
      <c r="K54" s="20" t="s">
        <v>14</v>
      </c>
      <c r="L54" s="21">
        <v>0</v>
      </c>
      <c r="M54" s="7"/>
    </row>
    <row r="55" spans="1:14" x14ac:dyDescent="0.2">
      <c r="A55" s="18" t="s">
        <v>75</v>
      </c>
      <c r="B55" s="19" t="s">
        <v>95</v>
      </c>
      <c r="C55" s="18">
        <f t="shared" si="0"/>
        <v>0</v>
      </c>
      <c r="D55">
        <v>1</v>
      </c>
      <c r="E55" s="1">
        <v>0</v>
      </c>
      <c r="F55" s="19" t="s">
        <v>13</v>
      </c>
      <c r="G55" s="18">
        <f t="shared" si="1"/>
        <v>0</v>
      </c>
      <c r="H55">
        <v>1</v>
      </c>
      <c r="I55" s="1">
        <v>0</v>
      </c>
      <c r="J55" s="19" t="s">
        <v>14</v>
      </c>
      <c r="K55" s="20" t="s">
        <v>14</v>
      </c>
      <c r="L55" s="21">
        <v>0</v>
      </c>
      <c r="M55" s="7"/>
    </row>
    <row r="56" spans="1:14" x14ac:dyDescent="0.2">
      <c r="A56" s="18" t="s">
        <v>75</v>
      </c>
      <c r="B56" s="19" t="s">
        <v>96</v>
      </c>
      <c r="C56" s="18">
        <f t="shared" si="0"/>
        <v>0</v>
      </c>
      <c r="D56">
        <v>1</v>
      </c>
      <c r="E56" s="1">
        <v>0</v>
      </c>
      <c r="F56" s="19" t="s">
        <v>13</v>
      </c>
      <c r="G56" s="18">
        <f t="shared" si="1"/>
        <v>0</v>
      </c>
      <c r="H56">
        <v>1</v>
      </c>
      <c r="I56" s="1">
        <v>0</v>
      </c>
      <c r="J56" s="19" t="s">
        <v>14</v>
      </c>
      <c r="K56" s="20" t="s">
        <v>14</v>
      </c>
      <c r="L56" s="21">
        <v>0</v>
      </c>
      <c r="M56" s="7"/>
    </row>
    <row r="57" spans="1:14" x14ac:dyDescent="0.2">
      <c r="A57" s="18" t="s">
        <v>75</v>
      </c>
      <c r="B57" s="19" t="s">
        <v>97</v>
      </c>
      <c r="C57" s="18">
        <f t="shared" si="0"/>
        <v>0</v>
      </c>
      <c r="D57">
        <v>1</v>
      </c>
      <c r="E57" s="1">
        <v>0</v>
      </c>
      <c r="F57" s="19" t="s">
        <v>13</v>
      </c>
      <c r="G57" s="18">
        <f t="shared" si="1"/>
        <v>0</v>
      </c>
      <c r="H57">
        <v>1</v>
      </c>
      <c r="I57" s="1">
        <v>0</v>
      </c>
      <c r="J57" s="19" t="s">
        <v>14</v>
      </c>
      <c r="K57" s="20" t="s">
        <v>14</v>
      </c>
      <c r="L57" s="21">
        <v>0</v>
      </c>
      <c r="M57" s="7"/>
    </row>
    <row r="58" spans="1:14" x14ac:dyDescent="0.2">
      <c r="A58" s="18" t="s">
        <v>75</v>
      </c>
      <c r="B58" s="19" t="s">
        <v>98</v>
      </c>
      <c r="C58" s="18">
        <f t="shared" si="0"/>
        <v>0</v>
      </c>
      <c r="D58">
        <v>1</v>
      </c>
      <c r="E58" s="1">
        <v>0</v>
      </c>
      <c r="F58" s="19" t="s">
        <v>13</v>
      </c>
      <c r="G58" s="18">
        <f t="shared" si="1"/>
        <v>0</v>
      </c>
      <c r="H58">
        <v>1</v>
      </c>
      <c r="I58" s="1">
        <v>0</v>
      </c>
      <c r="J58" s="19" t="s">
        <v>14</v>
      </c>
      <c r="K58" s="20" t="s">
        <v>14</v>
      </c>
      <c r="L58" s="21">
        <v>0</v>
      </c>
      <c r="M58" s="7"/>
    </row>
    <row r="59" spans="1:14" x14ac:dyDescent="0.2">
      <c r="A59" s="18" t="s">
        <v>75</v>
      </c>
      <c r="B59" s="19" t="s">
        <v>99</v>
      </c>
      <c r="C59" s="18">
        <f t="shared" si="0"/>
        <v>0</v>
      </c>
      <c r="D59">
        <v>1</v>
      </c>
      <c r="E59" s="1">
        <v>0</v>
      </c>
      <c r="F59" s="19" t="s">
        <v>13</v>
      </c>
      <c r="G59" s="18">
        <f t="shared" si="1"/>
        <v>0</v>
      </c>
      <c r="H59">
        <v>1</v>
      </c>
      <c r="I59" s="1">
        <v>0</v>
      </c>
      <c r="J59" s="19" t="s">
        <v>14</v>
      </c>
      <c r="K59" s="20" t="s">
        <v>14</v>
      </c>
      <c r="L59" s="21">
        <v>0</v>
      </c>
      <c r="M59" s="7"/>
    </row>
    <row r="60" spans="1:14" x14ac:dyDescent="0.2">
      <c r="A60" s="18" t="s">
        <v>75</v>
      </c>
      <c r="B60" s="19" t="s">
        <v>100</v>
      </c>
      <c r="C60" s="18">
        <f t="shared" si="0"/>
        <v>0</v>
      </c>
      <c r="D60">
        <v>1</v>
      </c>
      <c r="E60" s="1">
        <v>0</v>
      </c>
      <c r="F60" s="19" t="s">
        <v>13</v>
      </c>
      <c r="G60" s="18">
        <f t="shared" si="1"/>
        <v>0</v>
      </c>
      <c r="H60">
        <v>1</v>
      </c>
      <c r="I60" s="1">
        <v>0</v>
      </c>
      <c r="J60" s="19" t="s">
        <v>14</v>
      </c>
      <c r="K60" s="20" t="s">
        <v>14</v>
      </c>
      <c r="L60" s="21">
        <v>0</v>
      </c>
      <c r="M60" s="7"/>
    </row>
    <row r="61" spans="1:14" x14ac:dyDescent="0.2">
      <c r="A61" s="18" t="s">
        <v>75</v>
      </c>
      <c r="B61" s="19" t="s">
        <v>101</v>
      </c>
      <c r="C61" s="18">
        <f t="shared" si="0"/>
        <v>0</v>
      </c>
      <c r="D61">
        <v>1</v>
      </c>
      <c r="E61" s="1">
        <v>0</v>
      </c>
      <c r="F61" s="19" t="s">
        <v>13</v>
      </c>
      <c r="G61" s="18">
        <f t="shared" si="1"/>
        <v>0</v>
      </c>
      <c r="H61">
        <v>1</v>
      </c>
      <c r="I61" s="1">
        <v>0</v>
      </c>
      <c r="J61" s="19" t="s">
        <v>14</v>
      </c>
      <c r="K61" s="20" t="s">
        <v>14</v>
      </c>
      <c r="L61" s="21">
        <v>0</v>
      </c>
      <c r="M61" s="7"/>
    </row>
    <row r="62" spans="1:14" x14ac:dyDescent="0.2">
      <c r="A62" s="18" t="s">
        <v>75</v>
      </c>
      <c r="B62" s="19" t="s">
        <v>102</v>
      </c>
      <c r="C62" s="18">
        <f t="shared" si="0"/>
        <v>0</v>
      </c>
      <c r="D62">
        <v>1</v>
      </c>
      <c r="E62" s="1">
        <v>0</v>
      </c>
      <c r="F62" s="19" t="s">
        <v>13</v>
      </c>
      <c r="G62" s="18">
        <f t="shared" si="1"/>
        <v>0</v>
      </c>
      <c r="H62">
        <v>1</v>
      </c>
      <c r="I62" s="1">
        <v>0</v>
      </c>
      <c r="J62" s="19" t="s">
        <v>14</v>
      </c>
      <c r="K62" s="20" t="s">
        <v>14</v>
      </c>
      <c r="L62" s="21">
        <v>0</v>
      </c>
      <c r="M62" s="7"/>
    </row>
    <row r="63" spans="1:14" x14ac:dyDescent="0.2">
      <c r="A63" s="18" t="s">
        <v>75</v>
      </c>
      <c r="B63" s="19" t="s">
        <v>103</v>
      </c>
      <c r="C63" s="18">
        <f t="shared" si="0"/>
        <v>0</v>
      </c>
      <c r="D63">
        <v>1</v>
      </c>
      <c r="E63" s="1">
        <v>0</v>
      </c>
      <c r="F63" s="19" t="s">
        <v>13</v>
      </c>
      <c r="G63" s="18">
        <f t="shared" si="1"/>
        <v>0</v>
      </c>
      <c r="H63">
        <v>1</v>
      </c>
      <c r="I63" s="1">
        <v>0</v>
      </c>
      <c r="J63" s="19" t="s">
        <v>14</v>
      </c>
      <c r="K63" s="20" t="s">
        <v>14</v>
      </c>
      <c r="L63" s="21">
        <v>0</v>
      </c>
      <c r="M63" s="7"/>
    </row>
    <row r="64" spans="1:14" x14ac:dyDescent="0.2">
      <c r="A64" s="18" t="s">
        <v>75</v>
      </c>
      <c r="B64" s="19" t="s">
        <v>104</v>
      </c>
      <c r="C64" s="18">
        <f t="shared" si="0"/>
        <v>0</v>
      </c>
      <c r="D64">
        <v>1</v>
      </c>
      <c r="E64" s="1">
        <v>0</v>
      </c>
      <c r="F64" s="19" t="s">
        <v>13</v>
      </c>
      <c r="G64" s="18">
        <f t="shared" si="1"/>
        <v>0</v>
      </c>
      <c r="H64">
        <v>1</v>
      </c>
      <c r="I64" s="1">
        <v>0</v>
      </c>
      <c r="J64" s="19" t="s">
        <v>14</v>
      </c>
      <c r="K64" s="20" t="s">
        <v>14</v>
      </c>
      <c r="L64" s="21">
        <v>0</v>
      </c>
      <c r="M64" s="7"/>
    </row>
    <row r="65" spans="1:13" x14ac:dyDescent="0.2">
      <c r="A65" s="18" t="s">
        <v>75</v>
      </c>
      <c r="B65" s="19" t="s">
        <v>105</v>
      </c>
      <c r="C65" s="18">
        <f t="shared" si="0"/>
        <v>0</v>
      </c>
      <c r="D65">
        <v>1</v>
      </c>
      <c r="E65" s="1">
        <v>0</v>
      </c>
      <c r="F65" s="19" t="s">
        <v>13</v>
      </c>
      <c r="G65" s="18">
        <f t="shared" si="1"/>
        <v>0</v>
      </c>
      <c r="H65">
        <v>1</v>
      </c>
      <c r="I65" s="1">
        <v>0</v>
      </c>
      <c r="J65" s="19" t="s">
        <v>14</v>
      </c>
      <c r="K65" s="20" t="s">
        <v>14</v>
      </c>
      <c r="L65" s="21">
        <v>0</v>
      </c>
      <c r="M65" s="7"/>
    </row>
    <row r="66" spans="1:13" x14ac:dyDescent="0.2">
      <c r="A66" s="18" t="s">
        <v>75</v>
      </c>
      <c r="B66" s="19" t="s">
        <v>106</v>
      </c>
      <c r="C66" s="18">
        <f t="shared" si="0"/>
        <v>0</v>
      </c>
      <c r="D66">
        <v>1</v>
      </c>
      <c r="E66" s="1">
        <v>0</v>
      </c>
      <c r="F66" s="19" t="s">
        <v>13</v>
      </c>
      <c r="G66" s="18">
        <f t="shared" si="1"/>
        <v>0</v>
      </c>
      <c r="H66">
        <v>1</v>
      </c>
      <c r="I66" s="1">
        <v>0</v>
      </c>
      <c r="J66" s="19" t="s">
        <v>14</v>
      </c>
      <c r="K66" s="20" t="s">
        <v>14</v>
      </c>
      <c r="L66" s="21">
        <v>0</v>
      </c>
      <c r="M66" s="7"/>
    </row>
    <row r="67" spans="1:13" x14ac:dyDescent="0.2">
      <c r="A67" s="18" t="s">
        <v>75</v>
      </c>
      <c r="B67" s="19" t="s">
        <v>107</v>
      </c>
      <c r="C67" s="18">
        <f t="shared" ref="C67:C87" si="3">E67/D67</f>
        <v>0</v>
      </c>
      <c r="D67">
        <v>1</v>
      </c>
      <c r="E67" s="1">
        <v>0</v>
      </c>
      <c r="F67" s="19" t="s">
        <v>13</v>
      </c>
      <c r="G67" s="18">
        <f t="shared" ref="G67:G87" si="4">I67/H67</f>
        <v>0</v>
      </c>
      <c r="H67">
        <v>1</v>
      </c>
      <c r="I67" s="1">
        <v>0</v>
      </c>
      <c r="J67" s="19" t="s">
        <v>14</v>
      </c>
      <c r="K67" s="20" t="s">
        <v>14</v>
      </c>
      <c r="L67" s="21">
        <v>0</v>
      </c>
      <c r="M67" s="7"/>
    </row>
    <row r="68" spans="1:13" x14ac:dyDescent="0.2">
      <c r="A68" s="18" t="s">
        <v>75</v>
      </c>
      <c r="B68" s="19" t="s">
        <v>108</v>
      </c>
      <c r="C68" s="18">
        <f t="shared" si="3"/>
        <v>0.49030000000000001</v>
      </c>
      <c r="D68">
        <v>1</v>
      </c>
      <c r="E68" s="1">
        <v>0.49030000000000001</v>
      </c>
      <c r="F68" s="19" t="s">
        <v>70</v>
      </c>
      <c r="G68" s="18">
        <f t="shared" si="4"/>
        <v>0</v>
      </c>
      <c r="H68">
        <v>1</v>
      </c>
      <c r="I68" s="1">
        <v>0</v>
      </c>
      <c r="J68" s="19" t="s">
        <v>14</v>
      </c>
      <c r="K68" s="20" t="s">
        <v>109</v>
      </c>
      <c r="L68" s="21" t="s">
        <v>67</v>
      </c>
      <c r="M68" s="7"/>
    </row>
    <row r="69" spans="1:13" x14ac:dyDescent="0.2">
      <c r="A69" s="18" t="s">
        <v>75</v>
      </c>
      <c r="B69" s="19" t="s">
        <v>110</v>
      </c>
      <c r="C69" s="18">
        <f t="shared" si="3"/>
        <v>1.2E-2</v>
      </c>
      <c r="D69">
        <v>1</v>
      </c>
      <c r="E69" s="1">
        <v>1.2E-2</v>
      </c>
      <c r="F69" s="19" t="s">
        <v>111</v>
      </c>
      <c r="G69" s="18">
        <f t="shared" si="4"/>
        <v>0</v>
      </c>
      <c r="H69">
        <v>1</v>
      </c>
      <c r="I69" s="1">
        <v>0</v>
      </c>
      <c r="J69" s="19" t="s">
        <v>14</v>
      </c>
      <c r="K69" s="20" t="s">
        <v>109</v>
      </c>
      <c r="L69" s="21" t="s">
        <v>67</v>
      </c>
      <c r="M69" s="7"/>
    </row>
    <row r="70" spans="1:13" x14ac:dyDescent="0.2">
      <c r="A70" s="18" t="s">
        <v>112</v>
      </c>
      <c r="B70" s="19" t="s">
        <v>113</v>
      </c>
      <c r="C70" s="18">
        <f t="shared" si="3"/>
        <v>0</v>
      </c>
      <c r="D70">
        <v>1</v>
      </c>
      <c r="E70" s="1">
        <v>0</v>
      </c>
      <c r="F70" s="19" t="s">
        <v>14</v>
      </c>
      <c r="G70" s="18">
        <f t="shared" si="4"/>
        <v>0</v>
      </c>
      <c r="H70">
        <v>1</v>
      </c>
      <c r="I70" s="1">
        <v>0</v>
      </c>
      <c r="J70" s="19" t="s">
        <v>14</v>
      </c>
      <c r="K70" s="20" t="s">
        <v>14</v>
      </c>
      <c r="L70" s="21">
        <v>0</v>
      </c>
      <c r="M70" s="7"/>
    </row>
    <row r="71" spans="1:13" x14ac:dyDescent="0.2">
      <c r="A71" s="18" t="s">
        <v>112</v>
      </c>
      <c r="B71" s="19" t="s">
        <v>114</v>
      </c>
      <c r="C71" s="18">
        <f t="shared" si="3"/>
        <v>0</v>
      </c>
      <c r="D71">
        <v>1</v>
      </c>
      <c r="E71" s="1">
        <v>0</v>
      </c>
      <c r="F71" s="19" t="s">
        <v>14</v>
      </c>
      <c r="G71" s="18">
        <f t="shared" si="4"/>
        <v>2.2499999999999999E-2</v>
      </c>
      <c r="H71">
        <v>1</v>
      </c>
      <c r="I71" s="1">
        <v>2.2499999999999999E-2</v>
      </c>
      <c r="J71" s="19" t="s">
        <v>115</v>
      </c>
      <c r="K71" s="20" t="s">
        <v>116</v>
      </c>
      <c r="L71" s="21" t="s">
        <v>117</v>
      </c>
      <c r="M71" s="7"/>
    </row>
    <row r="72" spans="1:13" x14ac:dyDescent="0.2">
      <c r="A72" s="18" t="s">
        <v>112</v>
      </c>
      <c r="B72" s="19" t="s">
        <v>118</v>
      </c>
      <c r="C72" s="18">
        <f t="shared" si="3"/>
        <v>0</v>
      </c>
      <c r="D72">
        <v>1</v>
      </c>
      <c r="E72" s="1">
        <v>0</v>
      </c>
      <c r="F72" s="19" t="s">
        <v>14</v>
      </c>
      <c r="G72" s="18">
        <f t="shared" si="4"/>
        <v>0.22500000000000001</v>
      </c>
      <c r="H72">
        <v>1</v>
      </c>
      <c r="I72" s="1">
        <v>0.22500000000000001</v>
      </c>
      <c r="J72" s="19" t="s">
        <v>119</v>
      </c>
      <c r="K72" s="20" t="s">
        <v>116</v>
      </c>
      <c r="L72" s="21" t="s">
        <v>117</v>
      </c>
      <c r="M72" s="7"/>
    </row>
    <row r="73" spans="1:13" x14ac:dyDescent="0.2">
      <c r="A73" s="18" t="s">
        <v>112</v>
      </c>
      <c r="B73" s="19" t="s">
        <v>120</v>
      </c>
      <c r="C73" s="18">
        <f t="shared" si="3"/>
        <v>0</v>
      </c>
      <c r="D73">
        <v>1</v>
      </c>
      <c r="E73" s="1">
        <v>0</v>
      </c>
      <c r="F73" s="19" t="s">
        <v>14</v>
      </c>
      <c r="G73" s="18">
        <f t="shared" si="4"/>
        <v>0.45</v>
      </c>
      <c r="H73">
        <v>1</v>
      </c>
      <c r="I73" s="1">
        <v>0.45</v>
      </c>
      <c r="J73" s="19" t="s">
        <v>121</v>
      </c>
      <c r="K73" s="20" t="s">
        <v>116</v>
      </c>
      <c r="L73" s="21" t="s">
        <v>117</v>
      </c>
      <c r="M73" s="7"/>
    </row>
    <row r="74" spans="1:13" x14ac:dyDescent="0.2">
      <c r="A74" s="18" t="s">
        <v>112</v>
      </c>
      <c r="B74" s="19" t="s">
        <v>122</v>
      </c>
      <c r="C74" s="18">
        <f t="shared" si="3"/>
        <v>0</v>
      </c>
      <c r="D74">
        <v>1</v>
      </c>
      <c r="E74" s="1">
        <v>0</v>
      </c>
      <c r="F74" s="19" t="s">
        <v>14</v>
      </c>
      <c r="G74" s="18">
        <f t="shared" si="4"/>
        <v>0.1125</v>
      </c>
      <c r="H74">
        <v>2</v>
      </c>
      <c r="I74" s="1">
        <v>0.22500000000000001</v>
      </c>
      <c r="J74" s="19" t="s">
        <v>123</v>
      </c>
      <c r="K74" s="20" t="s">
        <v>22</v>
      </c>
      <c r="L74" s="21" t="s">
        <v>23</v>
      </c>
      <c r="M74" s="7"/>
    </row>
    <row r="75" spans="1:13" x14ac:dyDescent="0.2">
      <c r="A75" s="18" t="s">
        <v>112</v>
      </c>
      <c r="B75" s="19" t="s">
        <v>124</v>
      </c>
      <c r="C75" s="18">
        <f t="shared" si="3"/>
        <v>0</v>
      </c>
      <c r="D75">
        <v>1</v>
      </c>
      <c r="E75" s="1">
        <v>0</v>
      </c>
      <c r="F75" s="19" t="s">
        <v>14</v>
      </c>
      <c r="G75" s="18">
        <f t="shared" si="4"/>
        <v>0.16875000000000001</v>
      </c>
      <c r="H75">
        <v>2</v>
      </c>
      <c r="I75" s="1">
        <v>0.33750000000000002</v>
      </c>
      <c r="J75" s="19" t="s">
        <v>125</v>
      </c>
      <c r="K75" s="20" t="s">
        <v>22</v>
      </c>
      <c r="L75" s="21" t="s">
        <v>23</v>
      </c>
      <c r="M75" s="7"/>
    </row>
    <row r="76" spans="1:13" x14ac:dyDescent="0.2">
      <c r="A76" s="18" t="s">
        <v>112</v>
      </c>
      <c r="B76" s="19" t="s">
        <v>126</v>
      </c>
      <c r="C76" s="18">
        <f t="shared" si="3"/>
        <v>0</v>
      </c>
      <c r="D76">
        <v>1</v>
      </c>
      <c r="E76" s="1">
        <v>0</v>
      </c>
      <c r="F76" s="19" t="s">
        <v>14</v>
      </c>
      <c r="G76" s="18">
        <f t="shared" si="4"/>
        <v>0.22500000000000001</v>
      </c>
      <c r="H76">
        <v>2</v>
      </c>
      <c r="I76" s="1">
        <v>0.45</v>
      </c>
      <c r="J76" s="19" t="s">
        <v>127</v>
      </c>
      <c r="K76" s="20" t="s">
        <v>22</v>
      </c>
      <c r="L76" s="21" t="s">
        <v>23</v>
      </c>
      <c r="M76" s="7"/>
    </row>
    <row r="77" spans="1:13" x14ac:dyDescent="0.2">
      <c r="A77" s="18" t="s">
        <v>112</v>
      </c>
      <c r="B77" s="19" t="s">
        <v>128</v>
      </c>
      <c r="C77" s="18">
        <f t="shared" si="3"/>
        <v>0</v>
      </c>
      <c r="D77">
        <v>1</v>
      </c>
      <c r="E77" s="1">
        <v>0</v>
      </c>
      <c r="F77" s="19" t="s">
        <v>14</v>
      </c>
      <c r="G77" s="18">
        <f t="shared" si="4"/>
        <v>0.1125</v>
      </c>
      <c r="H77">
        <v>2</v>
      </c>
      <c r="I77" s="1">
        <v>0.22500000000000001</v>
      </c>
      <c r="J77" s="19" t="s">
        <v>123</v>
      </c>
      <c r="K77" s="20" t="s">
        <v>22</v>
      </c>
      <c r="L77" s="21" t="s">
        <v>23</v>
      </c>
      <c r="M77" s="7"/>
    </row>
    <row r="78" spans="1:13" x14ac:dyDescent="0.2">
      <c r="A78" s="18" t="s">
        <v>112</v>
      </c>
      <c r="B78" s="19" t="s">
        <v>129</v>
      </c>
      <c r="C78" s="18">
        <f t="shared" si="3"/>
        <v>0</v>
      </c>
      <c r="D78">
        <v>1</v>
      </c>
      <c r="E78" s="1">
        <v>0</v>
      </c>
      <c r="F78" s="19" t="s">
        <v>14</v>
      </c>
      <c r="G78" s="18">
        <f t="shared" si="4"/>
        <v>0.16875000000000001</v>
      </c>
      <c r="H78">
        <v>2</v>
      </c>
      <c r="I78" s="1">
        <v>0.33750000000000002</v>
      </c>
      <c r="J78" s="19" t="s">
        <v>125</v>
      </c>
      <c r="K78" s="20" t="s">
        <v>22</v>
      </c>
      <c r="L78" s="21" t="s">
        <v>23</v>
      </c>
      <c r="M78" s="7"/>
    </row>
    <row r="79" spans="1:13" x14ac:dyDescent="0.2">
      <c r="A79" s="18" t="s">
        <v>112</v>
      </c>
      <c r="B79" s="19" t="s">
        <v>130</v>
      </c>
      <c r="C79" s="18">
        <f t="shared" si="3"/>
        <v>0</v>
      </c>
      <c r="D79">
        <v>1</v>
      </c>
      <c r="E79" s="1">
        <v>0</v>
      </c>
      <c r="F79" s="19" t="s">
        <v>14</v>
      </c>
      <c r="G79" s="18">
        <f t="shared" si="4"/>
        <v>0.22500000000000001</v>
      </c>
      <c r="H79">
        <v>2</v>
      </c>
      <c r="I79" s="1">
        <v>0.45</v>
      </c>
      <c r="J79" s="19" t="s">
        <v>127</v>
      </c>
      <c r="K79" s="20" t="s">
        <v>22</v>
      </c>
      <c r="L79" s="21" t="s">
        <v>23</v>
      </c>
      <c r="M79" s="7"/>
    </row>
    <row r="80" spans="1:13" x14ac:dyDescent="0.2">
      <c r="A80" s="18" t="s">
        <v>112</v>
      </c>
      <c r="B80" s="19" t="s">
        <v>131</v>
      </c>
      <c r="C80" s="18">
        <f t="shared" si="3"/>
        <v>0</v>
      </c>
      <c r="D80">
        <v>1</v>
      </c>
      <c r="E80" s="1">
        <v>0</v>
      </c>
      <c r="F80" s="19" t="s">
        <v>14</v>
      </c>
      <c r="G80" s="18">
        <f t="shared" si="4"/>
        <v>0</v>
      </c>
      <c r="H80">
        <v>1</v>
      </c>
      <c r="I80" s="1">
        <v>0</v>
      </c>
      <c r="J80" s="19" t="s">
        <v>14</v>
      </c>
      <c r="K80" s="20" t="s">
        <v>14</v>
      </c>
      <c r="L80" s="21">
        <v>0</v>
      </c>
      <c r="M80" s="7"/>
    </row>
    <row r="81" spans="1:13" x14ac:dyDescent="0.2">
      <c r="A81" s="18" t="s">
        <v>112</v>
      </c>
      <c r="B81" s="19" t="s">
        <v>132</v>
      </c>
      <c r="C81" s="18">
        <f t="shared" si="3"/>
        <v>0</v>
      </c>
      <c r="D81">
        <v>1</v>
      </c>
      <c r="E81" s="1">
        <v>0</v>
      </c>
      <c r="F81" s="19" t="s">
        <v>14</v>
      </c>
      <c r="G81" s="18">
        <f t="shared" si="4"/>
        <v>0</v>
      </c>
      <c r="H81">
        <v>1</v>
      </c>
      <c r="I81" s="1">
        <v>0</v>
      </c>
      <c r="J81" s="19" t="s">
        <v>14</v>
      </c>
      <c r="K81" s="20" t="s">
        <v>14</v>
      </c>
      <c r="L81" s="21">
        <v>0</v>
      </c>
      <c r="M81" s="7"/>
    </row>
    <row r="82" spans="1:13" x14ac:dyDescent="0.2">
      <c r="A82" s="18" t="s">
        <v>112</v>
      </c>
      <c r="B82" s="19" t="s">
        <v>133</v>
      </c>
      <c r="C82" s="18">
        <f t="shared" si="3"/>
        <v>0</v>
      </c>
      <c r="D82">
        <v>1</v>
      </c>
      <c r="E82" s="1">
        <v>0</v>
      </c>
      <c r="F82" s="19" t="s">
        <v>14</v>
      </c>
      <c r="G82" s="18">
        <f t="shared" si="4"/>
        <v>0</v>
      </c>
      <c r="H82">
        <v>1</v>
      </c>
      <c r="I82" s="1">
        <v>0</v>
      </c>
      <c r="J82" s="19" t="s">
        <v>14</v>
      </c>
      <c r="K82" s="20" t="s">
        <v>14</v>
      </c>
      <c r="L82" s="21">
        <v>0</v>
      </c>
      <c r="M82" s="7"/>
    </row>
    <row r="83" spans="1:13" x14ac:dyDescent="0.2">
      <c r="A83" s="18" t="s">
        <v>112</v>
      </c>
      <c r="B83" s="19" t="s">
        <v>134</v>
      </c>
      <c r="C83" s="18">
        <f t="shared" si="3"/>
        <v>0</v>
      </c>
      <c r="D83">
        <v>1</v>
      </c>
      <c r="E83" s="1">
        <v>0</v>
      </c>
      <c r="F83" s="19" t="s">
        <v>14</v>
      </c>
      <c r="G83" s="18">
        <f t="shared" si="4"/>
        <v>0.15</v>
      </c>
      <c r="H83">
        <v>1</v>
      </c>
      <c r="I83" s="1">
        <v>0.15</v>
      </c>
      <c r="J83" s="19" t="s">
        <v>135</v>
      </c>
      <c r="K83" s="20" t="s">
        <v>136</v>
      </c>
      <c r="L83" s="21" t="s">
        <v>137</v>
      </c>
      <c r="M83" s="7"/>
    </row>
    <row r="84" spans="1:13" x14ac:dyDescent="0.2">
      <c r="A84" s="18" t="s">
        <v>112</v>
      </c>
      <c r="B84" s="19" t="s">
        <v>138</v>
      </c>
      <c r="C84" s="18">
        <f t="shared" si="3"/>
        <v>0</v>
      </c>
      <c r="D84">
        <v>1</v>
      </c>
      <c r="E84" s="1">
        <v>0</v>
      </c>
      <c r="F84" s="19" t="s">
        <v>14</v>
      </c>
      <c r="G84" s="18">
        <f t="shared" si="4"/>
        <v>0.4</v>
      </c>
      <c r="H84">
        <v>1</v>
      </c>
      <c r="I84" s="1">
        <v>0.4</v>
      </c>
      <c r="J84" s="19" t="s">
        <v>135</v>
      </c>
      <c r="K84" s="20" t="s">
        <v>136</v>
      </c>
      <c r="L84" s="21" t="s">
        <v>137</v>
      </c>
      <c r="M84" s="7"/>
    </row>
    <row r="85" spans="1:13" x14ac:dyDescent="0.2">
      <c r="A85" s="18" t="s">
        <v>112</v>
      </c>
      <c r="B85" s="19" t="s">
        <v>139</v>
      </c>
      <c r="C85" s="18">
        <f t="shared" si="3"/>
        <v>0</v>
      </c>
      <c r="D85">
        <v>1</v>
      </c>
      <c r="E85" s="1">
        <v>0</v>
      </c>
      <c r="F85" s="19" t="s">
        <v>14</v>
      </c>
      <c r="G85" s="18">
        <f t="shared" si="4"/>
        <v>0.6</v>
      </c>
      <c r="H85">
        <v>1</v>
      </c>
      <c r="I85" s="1">
        <v>0.6</v>
      </c>
      <c r="J85" s="19" t="s">
        <v>135</v>
      </c>
      <c r="K85" s="20" t="s">
        <v>136</v>
      </c>
      <c r="L85" s="21" t="s">
        <v>137</v>
      </c>
      <c r="M85" s="7"/>
    </row>
    <row r="86" spans="1:13" x14ac:dyDescent="0.2">
      <c r="A86" s="18" t="s">
        <v>112</v>
      </c>
      <c r="B86" s="19" t="s">
        <v>140</v>
      </c>
      <c r="C86" s="18">
        <f t="shared" si="3"/>
        <v>0</v>
      </c>
      <c r="D86">
        <v>1</v>
      </c>
      <c r="E86" s="1">
        <v>0</v>
      </c>
      <c r="F86" s="19" t="s">
        <v>14</v>
      </c>
      <c r="G86" s="18">
        <f t="shared" si="4"/>
        <v>0</v>
      </c>
      <c r="H86">
        <v>1</v>
      </c>
      <c r="I86" s="1">
        <v>0</v>
      </c>
      <c r="J86" s="19" t="s">
        <v>13</v>
      </c>
      <c r="K86" s="20" t="s">
        <v>14</v>
      </c>
      <c r="L86" s="21">
        <v>0</v>
      </c>
      <c r="M86" s="7"/>
    </row>
    <row r="87" spans="1:13" ht="17" thickBot="1" x14ac:dyDescent="0.25">
      <c r="A87" s="24" t="s">
        <v>112</v>
      </c>
      <c r="B87" s="25" t="s">
        <v>141</v>
      </c>
      <c r="C87" s="24">
        <f t="shared" si="3"/>
        <v>0</v>
      </c>
      <c r="D87" s="26">
        <v>1</v>
      </c>
      <c r="E87" s="27">
        <v>0</v>
      </c>
      <c r="F87" s="25" t="s">
        <v>14</v>
      </c>
      <c r="G87" s="24">
        <f t="shared" si="4"/>
        <v>0.6</v>
      </c>
      <c r="H87" s="26">
        <v>1</v>
      </c>
      <c r="I87" s="27">
        <v>0.6</v>
      </c>
      <c r="J87" s="25" t="s">
        <v>71</v>
      </c>
      <c r="K87" s="28" t="s">
        <v>109</v>
      </c>
      <c r="L87" s="29" t="s">
        <v>142</v>
      </c>
      <c r="M87" s="7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0867-B258-CF47-B020-CF66A8A6D7BA}">
  <sheetPr codeName="Sheet5" filterMode="1"/>
  <dimension ref="A1:T89"/>
  <sheetViews>
    <sheetView zoomScaleNormal="71"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I1" sqref="I1"/>
    </sheetView>
  </sheetViews>
  <sheetFormatPr baseColWidth="10" defaultColWidth="11" defaultRowHeight="16" x14ac:dyDescent="0.2"/>
  <cols>
    <col min="1" max="1" width="23" style="57" bestFit="1" customWidth="1"/>
    <col min="2" max="2" width="31.6640625" style="57" bestFit="1" customWidth="1"/>
    <col min="3" max="3" width="18" style="57" bestFit="1" customWidth="1"/>
    <col min="4" max="4" width="14" style="57" bestFit="1" customWidth="1"/>
    <col min="5" max="5" width="101.1640625" style="57" customWidth="1"/>
    <col min="7" max="7" width="11.33203125" bestFit="1" customWidth="1"/>
    <col min="8" max="8" width="17.6640625" bestFit="1" customWidth="1"/>
    <col min="9" max="9" width="20.6640625" bestFit="1" customWidth="1"/>
    <col min="10" max="10" width="10.33203125" customWidth="1"/>
    <col min="11" max="11" width="21.33203125" style="1" customWidth="1"/>
    <col min="12" max="12" width="19.5" bestFit="1" customWidth="1"/>
    <col min="13" max="13" width="19.5" customWidth="1"/>
    <col min="14" max="14" width="10.33203125" customWidth="1"/>
    <col min="15" max="15" width="22.5" style="1" customWidth="1"/>
    <col min="16" max="16" width="19.83203125" bestFit="1" customWidth="1"/>
    <col min="17" max="17" width="80.5" bestFit="1" customWidth="1"/>
    <col min="18" max="18" width="50.33203125" bestFit="1" customWidth="1"/>
    <col min="19" max="19" width="50.33203125" customWidth="1"/>
  </cols>
  <sheetData>
    <row r="1" spans="1:19" s="2" customFormat="1" ht="17" x14ac:dyDescent="0.2">
      <c r="A1" s="34" t="s">
        <v>254</v>
      </c>
      <c r="B1" s="34" t="s">
        <v>255</v>
      </c>
      <c r="C1" s="35" t="s">
        <v>256</v>
      </c>
      <c r="D1" s="34" t="s">
        <v>257</v>
      </c>
      <c r="E1" s="34" t="s">
        <v>258</v>
      </c>
      <c r="G1" s="12" t="s">
        <v>0</v>
      </c>
      <c r="H1" s="13" t="s">
        <v>1</v>
      </c>
      <c r="I1" s="12" t="s">
        <v>2</v>
      </c>
      <c r="J1" s="14" t="s">
        <v>3</v>
      </c>
      <c r="K1" s="15" t="s">
        <v>4</v>
      </c>
      <c r="L1" s="13" t="s">
        <v>5</v>
      </c>
      <c r="M1" s="12" t="s">
        <v>6</v>
      </c>
      <c r="N1" s="14" t="s">
        <v>3</v>
      </c>
      <c r="O1" s="15" t="s">
        <v>7</v>
      </c>
      <c r="P1" s="13" t="s">
        <v>8</v>
      </c>
      <c r="Q1" s="16" t="s">
        <v>9</v>
      </c>
      <c r="R1" s="17" t="s">
        <v>10</v>
      </c>
      <c r="S1" s="30"/>
    </row>
    <row r="2" spans="1:19" ht="17" x14ac:dyDescent="0.2">
      <c r="A2" s="36" t="s">
        <v>259</v>
      </c>
      <c r="B2" s="37" t="s">
        <v>260</v>
      </c>
      <c r="C2" s="38" t="s">
        <v>261</v>
      </c>
      <c r="D2" s="39">
        <v>58</v>
      </c>
      <c r="E2" s="40" t="s">
        <v>262</v>
      </c>
      <c r="G2" s="18" t="s">
        <v>11</v>
      </c>
      <c r="H2" s="19" t="s">
        <v>12</v>
      </c>
      <c r="I2" s="18">
        <f>K2/J2</f>
        <v>0</v>
      </c>
      <c r="J2">
        <v>1</v>
      </c>
      <c r="K2" s="1">
        <v>0</v>
      </c>
      <c r="L2" s="19" t="s">
        <v>13</v>
      </c>
      <c r="M2" s="18">
        <f>O2/N2</f>
        <v>0</v>
      </c>
      <c r="N2">
        <v>1</v>
      </c>
      <c r="O2" s="1">
        <v>0</v>
      </c>
      <c r="P2" s="19" t="s">
        <v>13</v>
      </c>
      <c r="Q2" s="20" t="s">
        <v>14</v>
      </c>
      <c r="R2" s="21">
        <v>0</v>
      </c>
      <c r="S2" s="7"/>
    </row>
    <row r="3" spans="1:19" ht="17" x14ac:dyDescent="0.2">
      <c r="A3" s="36" t="s">
        <v>259</v>
      </c>
      <c r="B3" s="37" t="s">
        <v>260</v>
      </c>
      <c r="C3" s="38" t="s">
        <v>263</v>
      </c>
      <c r="D3" s="41">
        <v>2010</v>
      </c>
      <c r="E3" s="42" t="s">
        <v>264</v>
      </c>
      <c r="G3" s="18" t="s">
        <v>11</v>
      </c>
      <c r="H3" s="19" t="s">
        <v>15</v>
      </c>
      <c r="I3" s="18">
        <f t="shared" ref="I3:I66" si="0">K3/J3</f>
        <v>0</v>
      </c>
      <c r="J3">
        <v>1</v>
      </c>
      <c r="K3" s="1">
        <v>0</v>
      </c>
      <c r="L3" s="19" t="s">
        <v>13</v>
      </c>
      <c r="M3" s="18">
        <f t="shared" ref="M3:M66" si="1">O3/N3</f>
        <v>0</v>
      </c>
      <c r="N3">
        <v>1</v>
      </c>
      <c r="O3" s="1">
        <v>0</v>
      </c>
      <c r="P3" s="19" t="s">
        <v>13</v>
      </c>
      <c r="Q3" s="20" t="s">
        <v>14</v>
      </c>
      <c r="R3" s="21">
        <v>0</v>
      </c>
      <c r="S3" s="7"/>
    </row>
    <row r="4" spans="1:19" ht="17" x14ac:dyDescent="0.2">
      <c r="A4" s="36" t="s">
        <v>259</v>
      </c>
      <c r="B4" s="37" t="s">
        <v>260</v>
      </c>
      <c r="C4" s="38" t="s">
        <v>265</v>
      </c>
      <c r="D4" s="41">
        <v>2015</v>
      </c>
      <c r="E4" s="42" t="s">
        <v>266</v>
      </c>
      <c r="G4" s="18" t="s">
        <v>11</v>
      </c>
      <c r="H4" s="19" t="s">
        <v>16</v>
      </c>
      <c r="I4" s="18">
        <f t="shared" si="0"/>
        <v>0</v>
      </c>
      <c r="J4">
        <v>1</v>
      </c>
      <c r="K4" s="1">
        <v>0</v>
      </c>
      <c r="L4" s="19" t="s">
        <v>13</v>
      </c>
      <c r="M4" s="18">
        <f t="shared" si="1"/>
        <v>0</v>
      </c>
      <c r="N4">
        <v>1</v>
      </c>
      <c r="O4" s="1">
        <v>0</v>
      </c>
      <c r="P4" s="19" t="s">
        <v>13</v>
      </c>
      <c r="Q4" s="20" t="s">
        <v>14</v>
      </c>
      <c r="R4" s="21">
        <v>0</v>
      </c>
      <c r="S4" s="7"/>
    </row>
    <row r="5" spans="1:19" ht="17" x14ac:dyDescent="0.2">
      <c r="A5" s="36" t="s">
        <v>259</v>
      </c>
      <c r="B5" s="37" t="s">
        <v>260</v>
      </c>
      <c r="C5" s="38" t="s">
        <v>267</v>
      </c>
      <c r="D5" s="41">
        <v>208</v>
      </c>
      <c r="E5" s="42" t="s">
        <v>268</v>
      </c>
      <c r="G5" s="18" t="s">
        <v>11</v>
      </c>
      <c r="H5" s="19" t="s">
        <v>17</v>
      </c>
      <c r="I5" s="18">
        <f t="shared" si="0"/>
        <v>0</v>
      </c>
      <c r="J5">
        <v>1</v>
      </c>
      <c r="K5" s="1">
        <v>0</v>
      </c>
      <c r="L5" s="19" t="s">
        <v>13</v>
      </c>
      <c r="M5" s="18">
        <f t="shared" si="1"/>
        <v>0</v>
      </c>
      <c r="N5">
        <v>1</v>
      </c>
      <c r="O5" s="1">
        <v>0</v>
      </c>
      <c r="P5" s="19" t="s">
        <v>13</v>
      </c>
      <c r="Q5" s="20" t="s">
        <v>14</v>
      </c>
      <c r="R5" s="21">
        <v>0</v>
      </c>
      <c r="S5" s="7"/>
    </row>
    <row r="6" spans="1:19" ht="17" x14ac:dyDescent="0.2">
      <c r="A6" s="36" t="s">
        <v>259</v>
      </c>
      <c r="B6" s="37" t="s">
        <v>260</v>
      </c>
      <c r="C6" s="38" t="s">
        <v>269</v>
      </c>
      <c r="D6" s="41">
        <v>2015</v>
      </c>
      <c r="E6" s="42" t="s">
        <v>270</v>
      </c>
      <c r="G6" s="18" t="s">
        <v>11</v>
      </c>
      <c r="H6" s="19" t="s">
        <v>18</v>
      </c>
      <c r="I6" s="18">
        <f t="shared" si="0"/>
        <v>0</v>
      </c>
      <c r="J6">
        <v>1</v>
      </c>
      <c r="K6" s="1">
        <v>0</v>
      </c>
      <c r="L6" s="19" t="s">
        <v>13</v>
      </c>
      <c r="M6" s="18">
        <f t="shared" si="1"/>
        <v>0</v>
      </c>
      <c r="N6">
        <v>1</v>
      </c>
      <c r="O6" s="1">
        <v>0</v>
      </c>
      <c r="P6" s="19" t="s">
        <v>13</v>
      </c>
      <c r="Q6" s="20" t="s">
        <v>14</v>
      </c>
      <c r="R6" s="21">
        <v>0</v>
      </c>
      <c r="S6" s="7"/>
    </row>
    <row r="7" spans="1:19" ht="17" x14ac:dyDescent="0.2">
      <c r="A7" s="36" t="s">
        <v>259</v>
      </c>
      <c r="B7" s="37" t="s">
        <v>260</v>
      </c>
      <c r="C7" s="38" t="s">
        <v>271</v>
      </c>
      <c r="D7" s="41">
        <v>2010</v>
      </c>
      <c r="E7" s="42" t="s">
        <v>272</v>
      </c>
      <c r="G7" s="18" t="s">
        <v>11</v>
      </c>
      <c r="H7" s="19" t="s">
        <v>19</v>
      </c>
      <c r="I7" s="18">
        <f t="shared" si="0"/>
        <v>0</v>
      </c>
      <c r="J7">
        <v>1</v>
      </c>
      <c r="K7" s="1">
        <v>0</v>
      </c>
      <c r="L7" s="19" t="s">
        <v>13</v>
      </c>
      <c r="M7" s="18">
        <f t="shared" si="1"/>
        <v>0</v>
      </c>
      <c r="N7">
        <v>1</v>
      </c>
      <c r="O7" s="1">
        <v>0</v>
      </c>
      <c r="P7" s="19" t="s">
        <v>13</v>
      </c>
      <c r="Q7" s="20" t="s">
        <v>14</v>
      </c>
      <c r="R7" s="21">
        <v>0</v>
      </c>
      <c r="S7" s="7"/>
    </row>
    <row r="8" spans="1:19" ht="17" hidden="1" x14ac:dyDescent="0.2">
      <c r="A8" s="36" t="s">
        <v>259</v>
      </c>
      <c r="B8" s="37" t="s">
        <v>273</v>
      </c>
      <c r="C8" s="38" t="s">
        <v>274</v>
      </c>
      <c r="D8" s="43">
        <v>10</v>
      </c>
      <c r="E8" s="38" t="s">
        <v>275</v>
      </c>
      <c r="G8" s="18" t="s">
        <v>11</v>
      </c>
      <c r="H8" s="19" t="s">
        <v>20</v>
      </c>
      <c r="I8" s="18">
        <f t="shared" si="0"/>
        <v>5.4999999999999997E-3</v>
      </c>
      <c r="J8">
        <v>2</v>
      </c>
      <c r="K8" s="1">
        <v>1.0999999999999999E-2</v>
      </c>
      <c r="L8" s="19" t="s">
        <v>21</v>
      </c>
      <c r="M8" s="18">
        <f t="shared" si="1"/>
        <v>0</v>
      </c>
      <c r="N8">
        <v>2</v>
      </c>
      <c r="O8" s="1">
        <v>0</v>
      </c>
      <c r="P8" s="19" t="s">
        <v>14</v>
      </c>
      <c r="Q8" s="20" t="s">
        <v>22</v>
      </c>
      <c r="R8" s="21" t="s">
        <v>23</v>
      </c>
      <c r="S8" s="7"/>
    </row>
    <row r="9" spans="1:19" ht="17" hidden="1" x14ac:dyDescent="0.2">
      <c r="A9" s="36" t="s">
        <v>259</v>
      </c>
      <c r="B9" s="37" t="s">
        <v>273</v>
      </c>
      <c r="C9" s="38" t="s">
        <v>276</v>
      </c>
      <c r="D9" s="43">
        <v>10</v>
      </c>
      <c r="E9" s="38" t="s">
        <v>277</v>
      </c>
      <c r="G9" s="18" t="s">
        <v>11</v>
      </c>
      <c r="H9" s="19" t="s">
        <v>24</v>
      </c>
      <c r="I9" s="18">
        <f t="shared" si="0"/>
        <v>1.55E-2</v>
      </c>
      <c r="J9">
        <v>2</v>
      </c>
      <c r="K9" s="1">
        <v>3.1E-2</v>
      </c>
      <c r="L9" s="19" t="s">
        <v>25</v>
      </c>
      <c r="M9" s="18">
        <f t="shared" si="1"/>
        <v>0</v>
      </c>
      <c r="N9">
        <v>2</v>
      </c>
      <c r="O9" s="1">
        <v>0</v>
      </c>
      <c r="P9" s="19" t="s">
        <v>14</v>
      </c>
      <c r="Q9" s="20" t="s">
        <v>22</v>
      </c>
      <c r="R9" s="21" t="s">
        <v>23</v>
      </c>
      <c r="S9" s="7"/>
    </row>
    <row r="10" spans="1:19" ht="17" hidden="1" x14ac:dyDescent="0.2">
      <c r="A10" s="36" t="s">
        <v>259</v>
      </c>
      <c r="B10" s="37" t="s">
        <v>273</v>
      </c>
      <c r="C10" s="38" t="s">
        <v>278</v>
      </c>
      <c r="D10" s="43">
        <v>10</v>
      </c>
      <c r="E10" s="38" t="s">
        <v>279</v>
      </c>
      <c r="G10" s="18" t="s">
        <v>11</v>
      </c>
      <c r="H10" s="19" t="s">
        <v>26</v>
      </c>
      <c r="I10" s="18">
        <f t="shared" si="0"/>
        <v>4.2000000000000003E-2</v>
      </c>
      <c r="J10">
        <v>2</v>
      </c>
      <c r="K10" s="1">
        <v>8.4000000000000005E-2</v>
      </c>
      <c r="L10" s="19" t="s">
        <v>27</v>
      </c>
      <c r="M10" s="18">
        <f t="shared" si="1"/>
        <v>0</v>
      </c>
      <c r="N10">
        <v>2</v>
      </c>
      <c r="O10" s="1">
        <v>0</v>
      </c>
      <c r="P10" s="19" t="s">
        <v>14</v>
      </c>
      <c r="Q10" s="20" t="s">
        <v>22</v>
      </c>
      <c r="R10" s="21" t="s">
        <v>23</v>
      </c>
      <c r="S10" s="7"/>
    </row>
    <row r="11" spans="1:19" ht="17" hidden="1" x14ac:dyDescent="0.2">
      <c r="A11" s="36" t="s">
        <v>259</v>
      </c>
      <c r="B11" s="37" t="s">
        <v>273</v>
      </c>
      <c r="C11" s="38" t="s">
        <v>280</v>
      </c>
      <c r="D11" s="43">
        <v>20</v>
      </c>
      <c r="E11" s="38" t="s">
        <v>281</v>
      </c>
      <c r="G11" s="18" t="s">
        <v>11</v>
      </c>
      <c r="H11" s="19" t="s">
        <v>28</v>
      </c>
      <c r="I11" s="18">
        <f t="shared" si="0"/>
        <v>5.4999999999999997E-3</v>
      </c>
      <c r="J11">
        <v>2</v>
      </c>
      <c r="K11" s="1">
        <v>1.0999999999999999E-2</v>
      </c>
      <c r="L11" s="19" t="s">
        <v>29</v>
      </c>
      <c r="M11" s="18">
        <f t="shared" si="1"/>
        <v>2.2499999999999999E-2</v>
      </c>
      <c r="N11">
        <v>2</v>
      </c>
      <c r="O11" s="1">
        <v>4.4999999999999998E-2</v>
      </c>
      <c r="P11" s="19" t="s">
        <v>29</v>
      </c>
      <c r="Q11" s="20" t="s">
        <v>30</v>
      </c>
      <c r="R11" s="21" t="s">
        <v>23</v>
      </c>
      <c r="S11" s="7"/>
    </row>
    <row r="12" spans="1:19" ht="17" hidden="1" x14ac:dyDescent="0.2">
      <c r="A12" s="36" t="s">
        <v>259</v>
      </c>
      <c r="B12" s="37" t="s">
        <v>273</v>
      </c>
      <c r="C12" s="38" t="s">
        <v>282</v>
      </c>
      <c r="D12" s="43">
        <v>35</v>
      </c>
      <c r="E12" s="38" t="s">
        <v>283</v>
      </c>
      <c r="G12" s="18" t="s">
        <v>11</v>
      </c>
      <c r="H12" s="19" t="s">
        <v>31</v>
      </c>
      <c r="I12" s="18">
        <f t="shared" si="0"/>
        <v>0.109</v>
      </c>
      <c r="J12">
        <v>2</v>
      </c>
      <c r="K12" s="1">
        <v>0.218</v>
      </c>
      <c r="L12" s="19" t="s">
        <v>32</v>
      </c>
      <c r="M12" s="18">
        <f t="shared" si="1"/>
        <v>3.3750000000000002E-2</v>
      </c>
      <c r="N12">
        <v>2</v>
      </c>
      <c r="O12" s="1">
        <v>6.7500000000000004E-2</v>
      </c>
      <c r="P12" s="19" t="s">
        <v>32</v>
      </c>
      <c r="Q12" s="20" t="s">
        <v>30</v>
      </c>
      <c r="R12" s="21" t="s">
        <v>23</v>
      </c>
      <c r="S12" s="7"/>
    </row>
    <row r="13" spans="1:19" ht="17" hidden="1" x14ac:dyDescent="0.2">
      <c r="A13" s="36" t="s">
        <v>259</v>
      </c>
      <c r="B13" s="37" t="s">
        <v>273</v>
      </c>
      <c r="C13" s="38" t="s">
        <v>284</v>
      </c>
      <c r="D13" s="43">
        <v>25</v>
      </c>
      <c r="E13" s="38" t="s">
        <v>285</v>
      </c>
      <c r="G13" s="18" t="s">
        <v>11</v>
      </c>
      <c r="H13" s="19" t="s">
        <v>33</v>
      </c>
      <c r="I13" s="18">
        <f t="shared" si="0"/>
        <v>0.41549999999999998</v>
      </c>
      <c r="J13">
        <v>2</v>
      </c>
      <c r="K13" s="1">
        <v>0.83099999999999996</v>
      </c>
      <c r="L13" s="19" t="s">
        <v>34</v>
      </c>
      <c r="M13" s="18">
        <f t="shared" si="1"/>
        <v>4.4999999999999998E-2</v>
      </c>
      <c r="N13">
        <v>2</v>
      </c>
      <c r="O13" s="1">
        <v>0.09</v>
      </c>
      <c r="P13" s="19" t="s">
        <v>34</v>
      </c>
      <c r="Q13" s="20" t="s">
        <v>30</v>
      </c>
      <c r="R13" s="21" t="s">
        <v>23</v>
      </c>
      <c r="S13" s="7"/>
    </row>
    <row r="14" spans="1:19" ht="17" hidden="1" x14ac:dyDescent="0.2">
      <c r="A14" s="36" t="s">
        <v>259</v>
      </c>
      <c r="B14" s="37" t="s">
        <v>273</v>
      </c>
      <c r="C14" s="38" t="s">
        <v>286</v>
      </c>
      <c r="D14" s="43">
        <v>10</v>
      </c>
      <c r="E14" s="38" t="s">
        <v>287</v>
      </c>
      <c r="G14" s="18" t="s">
        <v>11</v>
      </c>
      <c r="H14" s="19" t="s">
        <v>35</v>
      </c>
      <c r="I14" s="18">
        <f t="shared" si="0"/>
        <v>8.8000000000000005E-3</v>
      </c>
      <c r="J14">
        <v>1</v>
      </c>
      <c r="K14" s="1">
        <v>8.8000000000000005E-3</v>
      </c>
      <c r="L14" s="19" t="s">
        <v>36</v>
      </c>
      <c r="M14" s="18">
        <f t="shared" si="1"/>
        <v>3.5999999999999997E-2</v>
      </c>
      <c r="N14">
        <v>1</v>
      </c>
      <c r="O14" s="1">
        <v>3.5999999999999997E-2</v>
      </c>
      <c r="P14" s="19" t="s">
        <v>36</v>
      </c>
      <c r="Q14" s="20" t="s">
        <v>22</v>
      </c>
      <c r="R14" s="21" t="s">
        <v>23</v>
      </c>
      <c r="S14" s="7"/>
    </row>
    <row r="15" spans="1:19" ht="17" hidden="1" x14ac:dyDescent="0.2">
      <c r="A15" s="36" t="s">
        <v>259</v>
      </c>
      <c r="B15" s="37" t="s">
        <v>273</v>
      </c>
      <c r="C15" s="38" t="s">
        <v>288</v>
      </c>
      <c r="D15" s="43">
        <v>3</v>
      </c>
      <c r="E15" s="38" t="s">
        <v>289</v>
      </c>
      <c r="G15" s="18" t="s">
        <v>11</v>
      </c>
      <c r="H15" s="19" t="s">
        <v>37</v>
      </c>
      <c r="I15" s="18">
        <f t="shared" si="0"/>
        <v>0.1744</v>
      </c>
      <c r="J15">
        <v>1</v>
      </c>
      <c r="K15" s="1">
        <v>0.1744</v>
      </c>
      <c r="L15" s="19" t="s">
        <v>38</v>
      </c>
      <c r="M15" s="18">
        <f t="shared" si="1"/>
        <v>5.3999999999999999E-2</v>
      </c>
      <c r="N15">
        <v>1</v>
      </c>
      <c r="O15" s="1">
        <v>5.3999999999999999E-2</v>
      </c>
      <c r="P15" s="19" t="s">
        <v>38</v>
      </c>
      <c r="Q15" s="20" t="s">
        <v>22</v>
      </c>
      <c r="R15" s="21" t="s">
        <v>23</v>
      </c>
      <c r="S15" s="7"/>
    </row>
    <row r="16" spans="1:19" ht="17" hidden="1" x14ac:dyDescent="0.2">
      <c r="A16" s="36" t="s">
        <v>259</v>
      </c>
      <c r="B16" s="37" t="s">
        <v>273</v>
      </c>
      <c r="C16" s="38" t="s">
        <v>290</v>
      </c>
      <c r="D16" s="43">
        <v>1</v>
      </c>
      <c r="E16" s="38" t="s">
        <v>291</v>
      </c>
      <c r="G16" s="18" t="s">
        <v>11</v>
      </c>
      <c r="H16" s="19" t="s">
        <v>39</v>
      </c>
      <c r="I16" s="18">
        <f t="shared" si="0"/>
        <v>0.66479999999999995</v>
      </c>
      <c r="J16">
        <v>1</v>
      </c>
      <c r="K16" s="1">
        <v>0.66479999999999995</v>
      </c>
      <c r="L16" s="19" t="s">
        <v>40</v>
      </c>
      <c r="M16" s="18">
        <f t="shared" si="1"/>
        <v>7.1999999999999995E-2</v>
      </c>
      <c r="N16">
        <v>1</v>
      </c>
      <c r="O16" s="1">
        <v>7.1999999999999995E-2</v>
      </c>
      <c r="P16" s="19" t="s">
        <v>40</v>
      </c>
      <c r="Q16" s="20" t="s">
        <v>22</v>
      </c>
      <c r="R16" s="21" t="s">
        <v>23</v>
      </c>
      <c r="S16" s="7"/>
    </row>
    <row r="17" spans="1:19" ht="17" hidden="1" x14ac:dyDescent="0.2">
      <c r="A17" s="36" t="s">
        <v>259</v>
      </c>
      <c r="B17" s="37" t="s">
        <v>273</v>
      </c>
      <c r="C17" s="38" t="s">
        <v>292</v>
      </c>
      <c r="D17" s="43">
        <v>20</v>
      </c>
      <c r="E17" s="38" t="s">
        <v>293</v>
      </c>
      <c r="G17" s="18" t="s">
        <v>11</v>
      </c>
      <c r="H17" s="19" t="s">
        <v>41</v>
      </c>
      <c r="I17" s="18">
        <f t="shared" si="0"/>
        <v>5.4999999999999997E-3</v>
      </c>
      <c r="J17">
        <v>2</v>
      </c>
      <c r="K17" s="1">
        <v>1.0999999999999999E-2</v>
      </c>
      <c r="L17" s="19" t="s">
        <v>29</v>
      </c>
      <c r="M17" s="18">
        <f t="shared" si="1"/>
        <v>2.2499999999999999E-2</v>
      </c>
      <c r="N17">
        <v>2</v>
      </c>
      <c r="O17" s="1">
        <v>4.4999999999999998E-2</v>
      </c>
      <c r="P17" s="19" t="s">
        <v>29</v>
      </c>
      <c r="Q17" s="20" t="s">
        <v>22</v>
      </c>
      <c r="R17" s="21" t="s">
        <v>23</v>
      </c>
      <c r="S17" s="7"/>
    </row>
    <row r="18" spans="1:19" ht="17" hidden="1" x14ac:dyDescent="0.2">
      <c r="A18" s="36" t="s">
        <v>259</v>
      </c>
      <c r="B18" s="37" t="s">
        <v>273</v>
      </c>
      <c r="C18" s="38" t="s">
        <v>294</v>
      </c>
      <c r="D18" s="43">
        <v>31</v>
      </c>
      <c r="E18" s="38" t="s">
        <v>295</v>
      </c>
      <c r="G18" s="18" t="s">
        <v>11</v>
      </c>
      <c r="H18" s="19" t="s">
        <v>42</v>
      </c>
      <c r="I18" s="18">
        <f t="shared" si="0"/>
        <v>0.109</v>
      </c>
      <c r="J18">
        <v>2</v>
      </c>
      <c r="K18" s="1">
        <v>0.218</v>
      </c>
      <c r="L18" s="19" t="s">
        <v>32</v>
      </c>
      <c r="M18" s="18">
        <f t="shared" si="1"/>
        <v>3.3750000000000002E-2</v>
      </c>
      <c r="N18">
        <v>2</v>
      </c>
      <c r="O18" s="1">
        <v>6.7500000000000004E-2</v>
      </c>
      <c r="P18" s="19" t="s">
        <v>32</v>
      </c>
      <c r="Q18" s="20" t="s">
        <v>22</v>
      </c>
      <c r="R18" s="21" t="s">
        <v>23</v>
      </c>
      <c r="S18" s="7"/>
    </row>
    <row r="19" spans="1:19" ht="17" hidden="1" x14ac:dyDescent="0.2">
      <c r="A19" s="36" t="s">
        <v>259</v>
      </c>
      <c r="B19" s="37" t="s">
        <v>273</v>
      </c>
      <c r="C19" s="38" t="s">
        <v>296</v>
      </c>
      <c r="D19" s="43">
        <v>25</v>
      </c>
      <c r="E19" s="38" t="s">
        <v>297</v>
      </c>
      <c r="G19" s="18" t="s">
        <v>11</v>
      </c>
      <c r="H19" s="19" t="s">
        <v>43</v>
      </c>
      <c r="I19" s="18">
        <f t="shared" si="0"/>
        <v>0.41549999999999998</v>
      </c>
      <c r="J19">
        <v>2</v>
      </c>
      <c r="K19" s="1">
        <v>0.83099999999999996</v>
      </c>
      <c r="L19" s="19" t="s">
        <v>34</v>
      </c>
      <c r="M19" s="18">
        <f t="shared" si="1"/>
        <v>4.4999999999999998E-2</v>
      </c>
      <c r="N19">
        <v>2</v>
      </c>
      <c r="O19" s="1">
        <v>0.09</v>
      </c>
      <c r="P19" s="19" t="s">
        <v>34</v>
      </c>
      <c r="Q19" s="20" t="s">
        <v>22</v>
      </c>
      <c r="R19" s="21" t="s">
        <v>23</v>
      </c>
      <c r="S19" s="7"/>
    </row>
    <row r="20" spans="1:19" ht="17" hidden="1" x14ac:dyDescent="0.2">
      <c r="A20" s="36" t="s">
        <v>259</v>
      </c>
      <c r="B20" s="37" t="s">
        <v>273</v>
      </c>
      <c r="C20" s="38" t="s">
        <v>298</v>
      </c>
      <c r="D20" s="43">
        <v>11</v>
      </c>
      <c r="E20" s="38" t="s">
        <v>299</v>
      </c>
      <c r="G20" s="18" t="s">
        <v>11</v>
      </c>
      <c r="H20" s="19" t="s">
        <v>44</v>
      </c>
      <c r="I20" s="18">
        <f t="shared" si="0"/>
        <v>5.4999999999999997E-3</v>
      </c>
      <c r="J20">
        <v>2</v>
      </c>
      <c r="K20" s="1">
        <v>1.0999999999999999E-2</v>
      </c>
      <c r="L20" s="19" t="s">
        <v>21</v>
      </c>
      <c r="M20" s="18">
        <f t="shared" si="1"/>
        <v>0</v>
      </c>
      <c r="N20">
        <v>2</v>
      </c>
      <c r="O20" s="1">
        <v>0</v>
      </c>
      <c r="P20" s="19" t="s">
        <v>14</v>
      </c>
      <c r="Q20" s="20" t="s">
        <v>22</v>
      </c>
      <c r="R20" s="21" t="s">
        <v>23</v>
      </c>
      <c r="S20" s="7"/>
    </row>
    <row r="21" spans="1:19" ht="17" hidden="1" x14ac:dyDescent="0.2">
      <c r="A21" s="36" t="s">
        <v>259</v>
      </c>
      <c r="B21" s="37" t="s">
        <v>273</v>
      </c>
      <c r="C21" s="38" t="s">
        <v>300</v>
      </c>
      <c r="D21" s="43">
        <v>13</v>
      </c>
      <c r="E21" s="38" t="s">
        <v>301</v>
      </c>
      <c r="G21" s="18" t="s">
        <v>11</v>
      </c>
      <c r="H21" s="19" t="s">
        <v>45</v>
      </c>
      <c r="I21" s="18">
        <f t="shared" si="0"/>
        <v>1.55E-2</v>
      </c>
      <c r="J21">
        <v>2</v>
      </c>
      <c r="K21" s="1">
        <v>3.1E-2</v>
      </c>
      <c r="L21" s="19" t="s">
        <v>25</v>
      </c>
      <c r="M21" s="18">
        <f t="shared" si="1"/>
        <v>0</v>
      </c>
      <c r="N21">
        <v>2</v>
      </c>
      <c r="O21" s="1">
        <v>0</v>
      </c>
      <c r="P21" s="19" t="s">
        <v>14</v>
      </c>
      <c r="Q21" s="20" t="s">
        <v>22</v>
      </c>
      <c r="R21" s="21" t="s">
        <v>23</v>
      </c>
      <c r="S21" s="7"/>
    </row>
    <row r="22" spans="1:19" ht="17" hidden="1" x14ac:dyDescent="0.2">
      <c r="A22" s="36" t="s">
        <v>259</v>
      </c>
      <c r="B22" s="37" t="s">
        <v>273</v>
      </c>
      <c r="C22" s="38" t="s">
        <v>302</v>
      </c>
      <c r="D22" s="43">
        <v>11</v>
      </c>
      <c r="E22" s="38" t="s">
        <v>303</v>
      </c>
      <c r="G22" s="18" t="s">
        <v>11</v>
      </c>
      <c r="H22" s="19" t="s">
        <v>46</v>
      </c>
      <c r="I22" s="18">
        <f t="shared" si="0"/>
        <v>4.2000000000000003E-2</v>
      </c>
      <c r="J22">
        <v>2</v>
      </c>
      <c r="K22" s="1">
        <v>8.4000000000000005E-2</v>
      </c>
      <c r="L22" s="19" t="s">
        <v>27</v>
      </c>
      <c r="M22" s="18">
        <f t="shared" si="1"/>
        <v>0</v>
      </c>
      <c r="N22">
        <v>2</v>
      </c>
      <c r="O22" s="1">
        <v>0</v>
      </c>
      <c r="P22" s="19" t="s">
        <v>14</v>
      </c>
      <c r="Q22" s="20" t="s">
        <v>22</v>
      </c>
      <c r="R22" s="21" t="s">
        <v>23</v>
      </c>
      <c r="S22" s="7"/>
    </row>
    <row r="23" spans="1:19" ht="17" hidden="1" x14ac:dyDescent="0.2">
      <c r="A23" s="36" t="s">
        <v>259</v>
      </c>
      <c r="B23" s="37" t="s">
        <v>304</v>
      </c>
      <c r="C23" s="38" t="s">
        <v>305</v>
      </c>
      <c r="D23" s="43">
        <v>60</v>
      </c>
      <c r="E23" s="38" t="s">
        <v>306</v>
      </c>
      <c r="G23" s="18" t="s">
        <v>11</v>
      </c>
      <c r="H23" s="19" t="s">
        <v>47</v>
      </c>
      <c r="I23" s="18">
        <f t="shared" si="0"/>
        <v>2.7499999999999998E-3</v>
      </c>
      <c r="J23">
        <v>4</v>
      </c>
      <c r="K23" s="1">
        <v>1.0999999999999999E-2</v>
      </c>
      <c r="L23" s="19" t="s">
        <v>21</v>
      </c>
      <c r="M23" s="18">
        <f t="shared" si="1"/>
        <v>0</v>
      </c>
      <c r="N23">
        <v>4</v>
      </c>
      <c r="O23" s="1">
        <v>0</v>
      </c>
      <c r="P23" s="19" t="s">
        <v>14</v>
      </c>
      <c r="Q23" s="20" t="s">
        <v>22</v>
      </c>
      <c r="R23" s="21" t="s">
        <v>23</v>
      </c>
      <c r="S23" s="7"/>
    </row>
    <row r="24" spans="1:19" ht="17" hidden="1" x14ac:dyDescent="0.2">
      <c r="A24" s="36" t="s">
        <v>259</v>
      </c>
      <c r="B24" s="37" t="s">
        <v>304</v>
      </c>
      <c r="C24" s="38" t="s">
        <v>307</v>
      </c>
      <c r="D24" s="43">
        <v>130</v>
      </c>
      <c r="E24" s="38" t="s">
        <v>308</v>
      </c>
      <c r="G24" s="18" t="s">
        <v>11</v>
      </c>
      <c r="H24" s="19" t="s">
        <v>48</v>
      </c>
      <c r="I24" s="18">
        <f t="shared" si="0"/>
        <v>2.7499999999999998E-3</v>
      </c>
      <c r="J24">
        <v>4</v>
      </c>
      <c r="K24" s="1">
        <v>1.0999999999999999E-2</v>
      </c>
      <c r="L24" s="19" t="s">
        <v>29</v>
      </c>
      <c r="M24" s="18">
        <f t="shared" si="1"/>
        <v>1.125E-2</v>
      </c>
      <c r="N24">
        <v>4</v>
      </c>
      <c r="O24" s="1">
        <v>4.4999999999999998E-2</v>
      </c>
      <c r="P24" s="19" t="s">
        <v>29</v>
      </c>
      <c r="Q24" s="20" t="s">
        <v>22</v>
      </c>
      <c r="R24" s="21" t="s">
        <v>23</v>
      </c>
      <c r="S24" s="7"/>
    </row>
    <row r="25" spans="1:19" ht="17" hidden="1" x14ac:dyDescent="0.2">
      <c r="A25" s="36" t="s">
        <v>259</v>
      </c>
      <c r="B25" s="37" t="s">
        <v>304</v>
      </c>
      <c r="C25" s="38" t="s">
        <v>309</v>
      </c>
      <c r="D25" s="43">
        <v>50</v>
      </c>
      <c r="E25" s="38" t="s">
        <v>310</v>
      </c>
      <c r="G25" s="18" t="s">
        <v>11</v>
      </c>
      <c r="H25" s="19" t="s">
        <v>49</v>
      </c>
      <c r="I25" s="18">
        <f t="shared" si="0"/>
        <v>4.4000000000000003E-3</v>
      </c>
      <c r="J25">
        <v>2</v>
      </c>
      <c r="K25" s="1">
        <v>8.8000000000000005E-3</v>
      </c>
      <c r="L25" s="19" t="s">
        <v>36</v>
      </c>
      <c r="M25" s="18">
        <f t="shared" si="1"/>
        <v>1.7999999999999999E-2</v>
      </c>
      <c r="N25">
        <v>2</v>
      </c>
      <c r="O25" s="1">
        <v>3.5999999999999997E-2</v>
      </c>
      <c r="P25" s="19" t="s">
        <v>36</v>
      </c>
      <c r="Q25" s="20" t="s">
        <v>22</v>
      </c>
      <c r="R25" s="21" t="s">
        <v>23</v>
      </c>
      <c r="S25" s="7"/>
    </row>
    <row r="26" spans="1:19" ht="17" hidden="1" x14ac:dyDescent="0.2">
      <c r="A26" s="36" t="s">
        <v>259</v>
      </c>
      <c r="B26" s="37" t="s">
        <v>304</v>
      </c>
      <c r="C26" s="38" t="s">
        <v>311</v>
      </c>
      <c r="D26" s="43">
        <v>120</v>
      </c>
      <c r="E26" s="38" t="s">
        <v>312</v>
      </c>
      <c r="G26" s="18" t="s">
        <v>11</v>
      </c>
      <c r="H26" s="19" t="s">
        <v>50</v>
      </c>
      <c r="I26" s="18">
        <f t="shared" si="0"/>
        <v>2.7499999999999998E-3</v>
      </c>
      <c r="J26">
        <v>4</v>
      </c>
      <c r="K26" s="1">
        <v>1.0999999999999999E-2</v>
      </c>
      <c r="L26" s="19" t="s">
        <v>29</v>
      </c>
      <c r="M26" s="18">
        <f t="shared" si="1"/>
        <v>1.125E-2</v>
      </c>
      <c r="N26">
        <v>4</v>
      </c>
      <c r="O26" s="1">
        <v>4.4999999999999998E-2</v>
      </c>
      <c r="P26" s="19" t="s">
        <v>29</v>
      </c>
      <c r="Q26" s="20" t="s">
        <v>22</v>
      </c>
      <c r="R26" s="21" t="s">
        <v>23</v>
      </c>
      <c r="S26" s="7"/>
    </row>
    <row r="27" spans="1:19" ht="17" hidden="1" x14ac:dyDescent="0.2">
      <c r="A27" s="36" t="s">
        <v>259</v>
      </c>
      <c r="B27" s="37" t="s">
        <v>304</v>
      </c>
      <c r="C27" s="38" t="s">
        <v>313</v>
      </c>
      <c r="D27" s="43">
        <v>83</v>
      </c>
      <c r="E27" s="38" t="s">
        <v>314</v>
      </c>
      <c r="G27" s="18" t="s">
        <v>11</v>
      </c>
      <c r="H27" s="19" t="s">
        <v>51</v>
      </c>
      <c r="I27" s="18">
        <f t="shared" si="0"/>
        <v>2.7499999999999998E-3</v>
      </c>
      <c r="J27">
        <v>4</v>
      </c>
      <c r="K27" s="1">
        <v>1.0999999999999999E-2</v>
      </c>
      <c r="L27" s="19" t="s">
        <v>21</v>
      </c>
      <c r="M27" s="18">
        <f t="shared" si="1"/>
        <v>0</v>
      </c>
      <c r="N27">
        <v>4</v>
      </c>
      <c r="O27" s="22">
        <v>0</v>
      </c>
      <c r="P27" s="19" t="s">
        <v>14</v>
      </c>
      <c r="Q27" s="20" t="s">
        <v>22</v>
      </c>
      <c r="R27" s="21" t="s">
        <v>23</v>
      </c>
      <c r="S27" s="7"/>
    </row>
    <row r="28" spans="1:19" ht="17" hidden="1" x14ac:dyDescent="0.2">
      <c r="A28" s="36" t="s">
        <v>259</v>
      </c>
      <c r="B28" s="37" t="s">
        <v>315</v>
      </c>
      <c r="C28" s="38" t="s">
        <v>316</v>
      </c>
      <c r="D28" s="43">
        <v>48</v>
      </c>
      <c r="E28" s="38" t="s">
        <v>317</v>
      </c>
      <c r="G28" s="18" t="s">
        <v>11</v>
      </c>
      <c r="H28" s="19" t="s">
        <v>52</v>
      </c>
      <c r="I28" s="18">
        <f t="shared" si="0"/>
        <v>1.7000000000000001E-2</v>
      </c>
      <c r="J28">
        <v>1</v>
      </c>
      <c r="K28" s="1">
        <v>1.7000000000000001E-2</v>
      </c>
      <c r="L28" s="19" t="s">
        <v>53</v>
      </c>
      <c r="M28" s="18">
        <f t="shared" si="1"/>
        <v>2.2499999999999999E-2</v>
      </c>
      <c r="N28">
        <v>1</v>
      </c>
      <c r="O28" s="1">
        <v>2.2499999999999999E-2</v>
      </c>
      <c r="P28" s="19" t="s">
        <v>54</v>
      </c>
      <c r="Q28" s="20" t="s">
        <v>55</v>
      </c>
      <c r="R28" s="21" t="s">
        <v>56</v>
      </c>
      <c r="S28" s="7"/>
    </row>
    <row r="29" spans="1:19" ht="17" hidden="1" x14ac:dyDescent="0.2">
      <c r="A29" s="36" t="s">
        <v>259</v>
      </c>
      <c r="B29" s="37" t="s">
        <v>315</v>
      </c>
      <c r="C29" s="38" t="s">
        <v>318</v>
      </c>
      <c r="D29" s="43">
        <v>18</v>
      </c>
      <c r="E29" s="38" t="s">
        <v>319</v>
      </c>
      <c r="G29" s="18" t="s">
        <v>11</v>
      </c>
      <c r="H29" s="19" t="s">
        <v>57</v>
      </c>
      <c r="I29" s="18">
        <f t="shared" si="0"/>
        <v>2.8000000000000001E-2</v>
      </c>
      <c r="J29">
        <v>1</v>
      </c>
      <c r="K29" s="1">
        <v>2.8000000000000001E-2</v>
      </c>
      <c r="L29" s="19" t="s">
        <v>58</v>
      </c>
      <c r="M29" s="18">
        <f t="shared" si="1"/>
        <v>0.22500000000000001</v>
      </c>
      <c r="N29">
        <v>1</v>
      </c>
      <c r="O29" s="1">
        <v>0.22500000000000001</v>
      </c>
      <c r="P29" s="19" t="s">
        <v>59</v>
      </c>
      <c r="Q29" s="20" t="s">
        <v>55</v>
      </c>
      <c r="R29" s="21" t="s">
        <v>56</v>
      </c>
      <c r="S29" s="7"/>
    </row>
    <row r="30" spans="1:19" ht="17" hidden="1" x14ac:dyDescent="0.2">
      <c r="A30" s="36" t="s">
        <v>259</v>
      </c>
      <c r="B30" s="37" t="s">
        <v>315</v>
      </c>
      <c r="C30" s="38" t="s">
        <v>320</v>
      </c>
      <c r="D30" s="43">
        <v>6</v>
      </c>
      <c r="E30" s="38" t="s">
        <v>321</v>
      </c>
      <c r="G30" s="18" t="s">
        <v>11</v>
      </c>
      <c r="H30" s="19" t="s">
        <v>60</v>
      </c>
      <c r="I30" s="18">
        <f t="shared" si="0"/>
        <v>0.88400000000000001</v>
      </c>
      <c r="J30">
        <v>1</v>
      </c>
      <c r="K30" s="1">
        <v>0.88400000000000001</v>
      </c>
      <c r="L30" s="19" t="s">
        <v>61</v>
      </c>
      <c r="M30" s="18">
        <f t="shared" si="1"/>
        <v>0.45</v>
      </c>
      <c r="N30">
        <v>1</v>
      </c>
      <c r="O30" s="1">
        <v>0.45</v>
      </c>
      <c r="P30" s="19" t="s">
        <v>62</v>
      </c>
      <c r="Q30" s="20" t="s">
        <v>55</v>
      </c>
      <c r="R30" s="21" t="s">
        <v>56</v>
      </c>
      <c r="S30" s="7"/>
    </row>
    <row r="31" spans="1:19" ht="17" hidden="1" x14ac:dyDescent="0.2">
      <c r="A31" s="36" t="s">
        <v>259</v>
      </c>
      <c r="B31" s="37" t="s">
        <v>322</v>
      </c>
      <c r="C31" s="38" t="s">
        <v>323</v>
      </c>
      <c r="D31" s="43">
        <v>36</v>
      </c>
      <c r="E31" s="38" t="s">
        <v>324</v>
      </c>
      <c r="G31" s="18" t="s">
        <v>11</v>
      </c>
      <c r="H31" s="19" t="s">
        <v>63</v>
      </c>
      <c r="I31" s="18">
        <f t="shared" si="0"/>
        <v>8.5000000000000006E-3</v>
      </c>
      <c r="J31">
        <v>2</v>
      </c>
      <c r="K31" s="1">
        <v>1.7000000000000001E-2</v>
      </c>
      <c r="L31" s="19" t="s">
        <v>53</v>
      </c>
      <c r="M31" s="18">
        <f t="shared" si="1"/>
        <v>1.125E-2</v>
      </c>
      <c r="N31">
        <v>2</v>
      </c>
      <c r="O31" s="1">
        <v>2.2499999999999999E-2</v>
      </c>
      <c r="P31" s="19" t="s">
        <v>54</v>
      </c>
      <c r="Q31" s="20" t="s">
        <v>55</v>
      </c>
      <c r="R31" s="21" t="s">
        <v>56</v>
      </c>
      <c r="S31" s="7"/>
    </row>
    <row r="32" spans="1:19" ht="17" x14ac:dyDescent="0.2">
      <c r="A32" s="36" t="s">
        <v>259</v>
      </c>
      <c r="B32" s="37" t="s">
        <v>65</v>
      </c>
      <c r="C32" s="38" t="s">
        <v>325</v>
      </c>
      <c r="D32" s="44">
        <v>720380</v>
      </c>
      <c r="E32" s="38" t="s">
        <v>326</v>
      </c>
      <c r="G32" s="18" t="s">
        <v>11</v>
      </c>
      <c r="H32" s="19" t="s">
        <v>64</v>
      </c>
      <c r="I32" s="18">
        <f t="shared" si="0"/>
        <v>0</v>
      </c>
      <c r="J32">
        <v>1</v>
      </c>
      <c r="K32" s="1">
        <v>0</v>
      </c>
      <c r="L32" s="19" t="s">
        <v>65</v>
      </c>
      <c r="M32" s="18">
        <f t="shared" si="1"/>
        <v>0.315</v>
      </c>
      <c r="N32">
        <v>1</v>
      </c>
      <c r="O32" s="1">
        <v>0.315</v>
      </c>
      <c r="P32" s="19" t="s">
        <v>65</v>
      </c>
      <c r="Q32" s="20" t="s">
        <v>66</v>
      </c>
      <c r="R32" s="21" t="s">
        <v>67</v>
      </c>
      <c r="S32" s="7"/>
    </row>
    <row r="33" spans="1:20" ht="17" x14ac:dyDescent="0.2">
      <c r="A33" s="36" t="s">
        <v>259</v>
      </c>
      <c r="B33" s="37" t="s">
        <v>65</v>
      </c>
      <c r="C33" s="38" t="s">
        <v>327</v>
      </c>
      <c r="D33" s="43">
        <v>83</v>
      </c>
      <c r="E33" s="38" t="s">
        <v>328</v>
      </c>
      <c r="G33" s="18" t="s">
        <v>11</v>
      </c>
      <c r="H33" s="19" t="s">
        <v>68</v>
      </c>
      <c r="I33" s="18">
        <f t="shared" si="0"/>
        <v>0</v>
      </c>
      <c r="J33">
        <v>1</v>
      </c>
      <c r="K33" s="1">
        <v>0</v>
      </c>
      <c r="L33" s="19" t="s">
        <v>65</v>
      </c>
      <c r="M33" s="18">
        <f t="shared" si="1"/>
        <v>0.315</v>
      </c>
      <c r="N33">
        <v>1</v>
      </c>
      <c r="O33" s="1">
        <v>0.315</v>
      </c>
      <c r="P33" s="19" t="s">
        <v>65</v>
      </c>
      <c r="Q33" s="20" t="s">
        <v>66</v>
      </c>
      <c r="R33" s="21" t="s">
        <v>67</v>
      </c>
      <c r="S33" s="7"/>
    </row>
    <row r="34" spans="1:20" ht="17" hidden="1" x14ac:dyDescent="0.2">
      <c r="A34" s="36" t="s">
        <v>259</v>
      </c>
      <c r="B34" s="37" t="s">
        <v>329</v>
      </c>
      <c r="C34" s="38" t="s">
        <v>330</v>
      </c>
      <c r="D34" s="43">
        <v>11</v>
      </c>
      <c r="E34" s="38" t="s">
        <v>331</v>
      </c>
      <c r="G34" s="18" t="s">
        <v>11</v>
      </c>
      <c r="H34" s="19" t="s">
        <v>69</v>
      </c>
      <c r="I34" s="18">
        <f t="shared" si="0"/>
        <v>0.49030000000000001</v>
      </c>
      <c r="J34">
        <v>1</v>
      </c>
      <c r="K34" s="1">
        <v>0.49030000000000001</v>
      </c>
      <c r="L34" s="19" t="s">
        <v>70</v>
      </c>
      <c r="M34" s="18">
        <f t="shared" si="1"/>
        <v>0.6</v>
      </c>
      <c r="N34">
        <v>1</v>
      </c>
      <c r="O34" s="1">
        <v>0.6</v>
      </c>
      <c r="P34" s="19" t="s">
        <v>71</v>
      </c>
      <c r="Q34" s="20" t="s">
        <v>66</v>
      </c>
      <c r="R34" s="21" t="s">
        <v>67</v>
      </c>
      <c r="S34" s="7"/>
    </row>
    <row r="35" spans="1:20" ht="17" x14ac:dyDescent="0.2">
      <c r="A35" s="36" t="s">
        <v>259</v>
      </c>
      <c r="B35" s="37" t="s">
        <v>329</v>
      </c>
      <c r="C35" s="38" t="s">
        <v>332</v>
      </c>
      <c r="D35" s="43">
        <v>3</v>
      </c>
      <c r="E35" s="38" t="s">
        <v>333</v>
      </c>
      <c r="G35" s="18" t="s">
        <v>11</v>
      </c>
      <c r="H35" s="19" t="s">
        <v>72</v>
      </c>
      <c r="I35" s="18">
        <f t="shared" si="0"/>
        <v>0</v>
      </c>
      <c r="J35">
        <v>1</v>
      </c>
      <c r="K35" s="1">
        <v>0</v>
      </c>
      <c r="L35" s="19" t="s">
        <v>13</v>
      </c>
      <c r="M35" s="18">
        <f t="shared" si="1"/>
        <v>0</v>
      </c>
      <c r="N35">
        <v>1</v>
      </c>
      <c r="O35" s="1">
        <v>0</v>
      </c>
      <c r="P35" s="19" t="s">
        <v>13</v>
      </c>
      <c r="Q35" s="20" t="s">
        <v>14</v>
      </c>
      <c r="R35" s="21">
        <v>0</v>
      </c>
      <c r="S35" s="7"/>
    </row>
    <row r="36" spans="1:20" ht="17" x14ac:dyDescent="0.2">
      <c r="A36" s="36" t="s">
        <v>259</v>
      </c>
      <c r="B36" s="37" t="s">
        <v>329</v>
      </c>
      <c r="C36" s="38" t="s">
        <v>334</v>
      </c>
      <c r="D36" s="43">
        <v>2</v>
      </c>
      <c r="E36" s="38" t="s">
        <v>335</v>
      </c>
      <c r="G36" s="18" t="s">
        <v>11</v>
      </c>
      <c r="H36" s="19" t="s">
        <v>73</v>
      </c>
      <c r="I36" s="18">
        <f t="shared" si="0"/>
        <v>0</v>
      </c>
      <c r="J36">
        <v>1</v>
      </c>
      <c r="K36" s="1">
        <v>0</v>
      </c>
      <c r="L36" s="19" t="s">
        <v>13</v>
      </c>
      <c r="M36" s="18">
        <f t="shared" si="1"/>
        <v>0</v>
      </c>
      <c r="N36">
        <v>1</v>
      </c>
      <c r="O36" s="1">
        <v>0</v>
      </c>
      <c r="P36" s="19" t="s">
        <v>13</v>
      </c>
      <c r="Q36" s="20" t="s">
        <v>14</v>
      </c>
      <c r="R36" s="21">
        <v>0</v>
      </c>
      <c r="S36" s="7"/>
    </row>
    <row r="37" spans="1:20" ht="17" x14ac:dyDescent="0.2">
      <c r="A37" s="36" t="s">
        <v>259</v>
      </c>
      <c r="B37" s="37" t="s">
        <v>329</v>
      </c>
      <c r="C37" s="38" t="s">
        <v>336</v>
      </c>
      <c r="D37" s="43">
        <v>0</v>
      </c>
      <c r="E37" s="38" t="s">
        <v>337</v>
      </c>
      <c r="G37" s="18" t="s">
        <v>11</v>
      </c>
      <c r="H37" s="19" t="s">
        <v>74</v>
      </c>
      <c r="I37" s="18">
        <f t="shared" si="0"/>
        <v>0</v>
      </c>
      <c r="J37">
        <v>1</v>
      </c>
      <c r="K37" s="1">
        <v>0</v>
      </c>
      <c r="L37" s="19" t="s">
        <v>13</v>
      </c>
      <c r="M37" s="18">
        <f t="shared" si="1"/>
        <v>0</v>
      </c>
      <c r="N37">
        <v>1</v>
      </c>
      <c r="O37" s="1">
        <v>0</v>
      </c>
      <c r="P37" s="19" t="s">
        <v>13</v>
      </c>
      <c r="Q37" s="20" t="s">
        <v>14</v>
      </c>
      <c r="R37" s="21">
        <v>0</v>
      </c>
      <c r="S37" s="7"/>
    </row>
    <row r="38" spans="1:20" ht="17" hidden="1" x14ac:dyDescent="0.2">
      <c r="A38" s="45" t="s">
        <v>338</v>
      </c>
      <c r="B38" s="46" t="s">
        <v>339</v>
      </c>
      <c r="C38" s="42" t="s">
        <v>340</v>
      </c>
      <c r="D38" s="47">
        <v>26</v>
      </c>
      <c r="E38" s="42" t="s">
        <v>341</v>
      </c>
      <c r="G38" s="18" t="s">
        <v>75</v>
      </c>
      <c r="H38" s="19" t="s">
        <v>76</v>
      </c>
      <c r="I38" s="23">
        <f t="shared" si="0"/>
        <v>8.2500000000000004E-3</v>
      </c>
      <c r="J38">
        <v>2</v>
      </c>
      <c r="K38" s="1">
        <f>T38*K8</f>
        <v>1.6500000000000001E-2</v>
      </c>
      <c r="L38" s="19" t="s">
        <v>21</v>
      </c>
      <c r="M38" s="18">
        <f t="shared" si="1"/>
        <v>0</v>
      </c>
      <c r="N38">
        <v>1</v>
      </c>
      <c r="O38" s="1">
        <v>0</v>
      </c>
      <c r="P38" s="19" t="s">
        <v>14</v>
      </c>
      <c r="Q38" s="20" t="s">
        <v>77</v>
      </c>
      <c r="R38" s="21" t="s">
        <v>78</v>
      </c>
      <c r="S38" s="7"/>
      <c r="T38">
        <v>1.5</v>
      </c>
    </row>
    <row r="39" spans="1:20" ht="17" hidden="1" x14ac:dyDescent="0.2">
      <c r="A39" s="45" t="s">
        <v>338</v>
      </c>
      <c r="B39" s="46" t="s">
        <v>339</v>
      </c>
      <c r="C39" s="42" t="s">
        <v>342</v>
      </c>
      <c r="D39" s="47">
        <v>0</v>
      </c>
      <c r="E39" s="42" t="s">
        <v>343</v>
      </c>
      <c r="G39" s="18" t="s">
        <v>75</v>
      </c>
      <c r="H39" s="19" t="s">
        <v>79</v>
      </c>
      <c r="I39" s="23">
        <f t="shared" si="0"/>
        <v>2.325E-2</v>
      </c>
      <c r="J39">
        <v>2</v>
      </c>
      <c r="K39" s="1">
        <f t="shared" ref="K39:K52" si="2">T39*K9</f>
        <v>4.65E-2</v>
      </c>
      <c r="L39" s="19" t="s">
        <v>25</v>
      </c>
      <c r="M39" s="18">
        <f t="shared" si="1"/>
        <v>0</v>
      </c>
      <c r="N39">
        <v>1</v>
      </c>
      <c r="O39" s="1">
        <v>0</v>
      </c>
      <c r="P39" s="19" t="s">
        <v>14</v>
      </c>
      <c r="Q39" s="20" t="s">
        <v>77</v>
      </c>
      <c r="R39" s="21" t="s">
        <v>78</v>
      </c>
      <c r="S39" s="7"/>
      <c r="T39">
        <v>1.5</v>
      </c>
    </row>
    <row r="40" spans="1:20" ht="17" hidden="1" x14ac:dyDescent="0.2">
      <c r="A40" s="45" t="s">
        <v>338</v>
      </c>
      <c r="B40" s="46" t="s">
        <v>339</v>
      </c>
      <c r="C40" s="42" t="s">
        <v>344</v>
      </c>
      <c r="D40" s="47">
        <v>0</v>
      </c>
      <c r="E40" s="42" t="s">
        <v>345</v>
      </c>
      <c r="G40" s="18" t="s">
        <v>75</v>
      </c>
      <c r="H40" s="19" t="s">
        <v>80</v>
      </c>
      <c r="I40" s="23">
        <f t="shared" si="0"/>
        <v>6.3E-2</v>
      </c>
      <c r="J40">
        <v>2</v>
      </c>
      <c r="K40" s="1">
        <f t="shared" si="2"/>
        <v>0.126</v>
      </c>
      <c r="L40" s="19" t="s">
        <v>27</v>
      </c>
      <c r="M40" s="18">
        <f t="shared" si="1"/>
        <v>0</v>
      </c>
      <c r="N40">
        <v>1</v>
      </c>
      <c r="O40" s="1">
        <v>0</v>
      </c>
      <c r="P40" s="19" t="s">
        <v>14</v>
      </c>
      <c r="Q40" s="20" t="s">
        <v>77</v>
      </c>
      <c r="R40" s="21" t="s">
        <v>78</v>
      </c>
      <c r="S40" s="7"/>
      <c r="T40">
        <v>1.5</v>
      </c>
    </row>
    <row r="41" spans="1:20" ht="17" hidden="1" x14ac:dyDescent="0.2">
      <c r="A41" s="45" t="s">
        <v>338</v>
      </c>
      <c r="B41" s="46" t="s">
        <v>339</v>
      </c>
      <c r="C41" s="42" t="s">
        <v>346</v>
      </c>
      <c r="D41" s="47">
        <v>40</v>
      </c>
      <c r="E41" s="42" t="s">
        <v>347</v>
      </c>
      <c r="G41" s="18" t="s">
        <v>75</v>
      </c>
      <c r="H41" s="19" t="s">
        <v>81</v>
      </c>
      <c r="I41" s="23">
        <f t="shared" si="0"/>
        <v>8.2500000000000004E-3</v>
      </c>
      <c r="J41">
        <v>2</v>
      </c>
      <c r="K41" s="1">
        <f t="shared" si="2"/>
        <v>1.6500000000000001E-2</v>
      </c>
      <c r="L41" s="19" t="s">
        <v>29</v>
      </c>
      <c r="M41" s="18">
        <f t="shared" si="1"/>
        <v>0</v>
      </c>
      <c r="N41">
        <v>1</v>
      </c>
      <c r="O41" s="1">
        <v>0</v>
      </c>
      <c r="P41" s="19" t="s">
        <v>14</v>
      </c>
      <c r="Q41" s="20" t="s">
        <v>77</v>
      </c>
      <c r="R41" s="21" t="s">
        <v>78</v>
      </c>
      <c r="S41" s="7"/>
      <c r="T41">
        <v>1.5</v>
      </c>
    </row>
    <row r="42" spans="1:20" ht="17" hidden="1" x14ac:dyDescent="0.2">
      <c r="A42" s="45" t="s">
        <v>338</v>
      </c>
      <c r="B42" s="46" t="s">
        <v>339</v>
      </c>
      <c r="C42" s="42" t="s">
        <v>348</v>
      </c>
      <c r="D42" s="47">
        <v>40</v>
      </c>
      <c r="E42" s="42" t="s">
        <v>349</v>
      </c>
      <c r="G42" s="18" t="s">
        <v>75</v>
      </c>
      <c r="H42" s="19" t="s">
        <v>82</v>
      </c>
      <c r="I42" s="23">
        <f t="shared" si="0"/>
        <v>0.16350000000000001</v>
      </c>
      <c r="J42">
        <v>2</v>
      </c>
      <c r="K42" s="1">
        <f t="shared" si="2"/>
        <v>0.32700000000000001</v>
      </c>
      <c r="L42" s="19" t="s">
        <v>32</v>
      </c>
      <c r="M42" s="18">
        <f t="shared" si="1"/>
        <v>0</v>
      </c>
      <c r="N42">
        <v>1</v>
      </c>
      <c r="O42" s="1">
        <v>0</v>
      </c>
      <c r="P42" s="19" t="s">
        <v>14</v>
      </c>
      <c r="Q42" s="20" t="s">
        <v>77</v>
      </c>
      <c r="R42" s="21" t="s">
        <v>78</v>
      </c>
      <c r="S42" s="7"/>
      <c r="T42">
        <v>1.5</v>
      </c>
    </row>
    <row r="43" spans="1:20" ht="17" hidden="1" x14ac:dyDescent="0.2">
      <c r="A43" s="45" t="s">
        <v>338</v>
      </c>
      <c r="B43" s="46" t="s">
        <v>339</v>
      </c>
      <c r="C43" s="42" t="s">
        <v>350</v>
      </c>
      <c r="D43" s="47">
        <v>0</v>
      </c>
      <c r="E43" s="42" t="s">
        <v>351</v>
      </c>
      <c r="G43" s="18" t="s">
        <v>75</v>
      </c>
      <c r="H43" s="19" t="s">
        <v>83</v>
      </c>
      <c r="I43" s="23">
        <f t="shared" si="0"/>
        <v>0.62324999999999997</v>
      </c>
      <c r="J43">
        <v>2</v>
      </c>
      <c r="K43" s="1">
        <f t="shared" si="2"/>
        <v>1.2464999999999999</v>
      </c>
      <c r="L43" s="19" t="s">
        <v>34</v>
      </c>
      <c r="M43" s="18">
        <f t="shared" si="1"/>
        <v>0</v>
      </c>
      <c r="N43">
        <v>1</v>
      </c>
      <c r="O43" s="1">
        <v>0</v>
      </c>
      <c r="P43" s="19" t="s">
        <v>14</v>
      </c>
      <c r="Q43" s="20" t="s">
        <v>77</v>
      </c>
      <c r="R43" s="21" t="s">
        <v>78</v>
      </c>
      <c r="S43" s="7"/>
      <c r="T43">
        <v>1.5</v>
      </c>
    </row>
    <row r="44" spans="1:20" ht="17" hidden="1" x14ac:dyDescent="0.2">
      <c r="A44" s="45" t="s">
        <v>338</v>
      </c>
      <c r="B44" s="46" t="s">
        <v>339</v>
      </c>
      <c r="C44" s="42" t="s">
        <v>352</v>
      </c>
      <c r="D44" s="47">
        <v>0</v>
      </c>
      <c r="E44" s="42" t="s">
        <v>353</v>
      </c>
      <c r="G44" s="18" t="s">
        <v>75</v>
      </c>
      <c r="H44" s="19" t="s">
        <v>84</v>
      </c>
      <c r="I44" s="23">
        <f t="shared" si="0"/>
        <v>1.32E-2</v>
      </c>
      <c r="J44">
        <v>1</v>
      </c>
      <c r="K44" s="1">
        <f t="shared" si="2"/>
        <v>1.32E-2</v>
      </c>
      <c r="L44" s="19" t="s">
        <v>36</v>
      </c>
      <c r="M44" s="18">
        <f t="shared" si="1"/>
        <v>0</v>
      </c>
      <c r="N44">
        <v>1</v>
      </c>
      <c r="O44" s="1">
        <v>0</v>
      </c>
      <c r="P44" s="19" t="s">
        <v>14</v>
      </c>
      <c r="Q44" s="20" t="s">
        <v>77</v>
      </c>
      <c r="R44" s="21" t="s">
        <v>78</v>
      </c>
      <c r="S44" s="7"/>
      <c r="T44">
        <v>1.5</v>
      </c>
    </row>
    <row r="45" spans="1:20" ht="17" hidden="1" x14ac:dyDescent="0.2">
      <c r="A45" s="45" t="s">
        <v>338</v>
      </c>
      <c r="B45" s="46" t="s">
        <v>339</v>
      </c>
      <c r="C45" s="42" t="s">
        <v>354</v>
      </c>
      <c r="D45" s="47">
        <v>0</v>
      </c>
      <c r="E45" s="42" t="s">
        <v>355</v>
      </c>
      <c r="G45" s="18" t="s">
        <v>75</v>
      </c>
      <c r="H45" s="19" t="s">
        <v>85</v>
      </c>
      <c r="I45" s="23">
        <f t="shared" si="0"/>
        <v>0.2616</v>
      </c>
      <c r="J45">
        <v>1</v>
      </c>
      <c r="K45" s="1">
        <f t="shared" si="2"/>
        <v>0.2616</v>
      </c>
      <c r="L45" s="19" t="s">
        <v>38</v>
      </c>
      <c r="M45" s="18">
        <f t="shared" si="1"/>
        <v>0</v>
      </c>
      <c r="N45">
        <v>1</v>
      </c>
      <c r="O45" s="1">
        <v>0</v>
      </c>
      <c r="P45" s="19" t="s">
        <v>14</v>
      </c>
      <c r="Q45" s="20" t="s">
        <v>77</v>
      </c>
      <c r="R45" s="21" t="s">
        <v>78</v>
      </c>
      <c r="S45" s="7"/>
      <c r="T45">
        <v>1.5</v>
      </c>
    </row>
    <row r="46" spans="1:20" ht="17" hidden="1" x14ac:dyDescent="0.2">
      <c r="A46" s="45" t="s">
        <v>338</v>
      </c>
      <c r="B46" s="46" t="s">
        <v>339</v>
      </c>
      <c r="C46" s="42" t="s">
        <v>356</v>
      </c>
      <c r="D46" s="47">
        <v>0</v>
      </c>
      <c r="E46" s="42" t="s">
        <v>357</v>
      </c>
      <c r="G46" s="18" t="s">
        <v>75</v>
      </c>
      <c r="H46" s="19" t="s">
        <v>86</v>
      </c>
      <c r="I46" s="23">
        <f t="shared" si="0"/>
        <v>0.99719999999999986</v>
      </c>
      <c r="J46">
        <v>1</v>
      </c>
      <c r="K46" s="1">
        <f t="shared" si="2"/>
        <v>0.99719999999999986</v>
      </c>
      <c r="L46" s="19" t="s">
        <v>40</v>
      </c>
      <c r="M46" s="18">
        <f t="shared" si="1"/>
        <v>0</v>
      </c>
      <c r="N46">
        <v>1</v>
      </c>
      <c r="O46" s="1">
        <v>0</v>
      </c>
      <c r="P46" s="19" t="s">
        <v>14</v>
      </c>
      <c r="Q46" s="20" t="s">
        <v>77</v>
      </c>
      <c r="R46" s="21" t="s">
        <v>78</v>
      </c>
      <c r="S46" s="7"/>
      <c r="T46">
        <v>1.5</v>
      </c>
    </row>
    <row r="47" spans="1:20" ht="17" hidden="1" x14ac:dyDescent="0.2">
      <c r="A47" s="45" t="s">
        <v>338</v>
      </c>
      <c r="B47" s="46" t="s">
        <v>339</v>
      </c>
      <c r="C47" s="42" t="s">
        <v>358</v>
      </c>
      <c r="D47" s="47">
        <v>30</v>
      </c>
      <c r="E47" s="42" t="s">
        <v>359</v>
      </c>
      <c r="G47" s="18" t="s">
        <v>75</v>
      </c>
      <c r="H47" s="19" t="s">
        <v>87</v>
      </c>
      <c r="I47" s="23">
        <f t="shared" si="0"/>
        <v>8.2500000000000004E-3</v>
      </c>
      <c r="J47">
        <v>2</v>
      </c>
      <c r="K47" s="1">
        <f t="shared" si="2"/>
        <v>1.6500000000000001E-2</v>
      </c>
      <c r="L47" s="19" t="s">
        <v>29</v>
      </c>
      <c r="M47" s="18">
        <f t="shared" si="1"/>
        <v>0</v>
      </c>
      <c r="N47">
        <v>1</v>
      </c>
      <c r="O47" s="1">
        <v>0</v>
      </c>
      <c r="P47" s="19" t="s">
        <v>14</v>
      </c>
      <c r="Q47" s="20" t="s">
        <v>77</v>
      </c>
      <c r="R47" s="21" t="s">
        <v>78</v>
      </c>
      <c r="S47" s="7"/>
      <c r="T47">
        <v>1.5</v>
      </c>
    </row>
    <row r="48" spans="1:20" ht="17" hidden="1" x14ac:dyDescent="0.2">
      <c r="A48" s="45" t="s">
        <v>338</v>
      </c>
      <c r="B48" s="46" t="s">
        <v>339</v>
      </c>
      <c r="C48" s="42" t="s">
        <v>360</v>
      </c>
      <c r="D48" s="47">
        <v>30</v>
      </c>
      <c r="E48" s="42" t="s">
        <v>361</v>
      </c>
      <c r="G48" s="18" t="s">
        <v>75</v>
      </c>
      <c r="H48" s="19" t="s">
        <v>88</v>
      </c>
      <c r="I48" s="23">
        <f t="shared" si="0"/>
        <v>0.16350000000000001</v>
      </c>
      <c r="J48">
        <v>2</v>
      </c>
      <c r="K48" s="1">
        <f t="shared" si="2"/>
        <v>0.32700000000000001</v>
      </c>
      <c r="L48" s="19" t="s">
        <v>32</v>
      </c>
      <c r="M48" s="18">
        <f t="shared" si="1"/>
        <v>0</v>
      </c>
      <c r="N48">
        <v>1</v>
      </c>
      <c r="O48" s="1">
        <v>0</v>
      </c>
      <c r="P48" s="19" t="s">
        <v>14</v>
      </c>
      <c r="Q48" s="20" t="s">
        <v>77</v>
      </c>
      <c r="R48" s="21" t="s">
        <v>78</v>
      </c>
      <c r="S48" s="7"/>
      <c r="T48">
        <v>1.5</v>
      </c>
    </row>
    <row r="49" spans="1:20" ht="17" hidden="1" x14ac:dyDescent="0.2">
      <c r="A49" s="45" t="s">
        <v>338</v>
      </c>
      <c r="B49" s="46" t="s">
        <v>339</v>
      </c>
      <c r="C49" s="42" t="s">
        <v>362</v>
      </c>
      <c r="D49" s="47">
        <v>20</v>
      </c>
      <c r="E49" s="42" t="s">
        <v>363</v>
      </c>
      <c r="G49" s="18" t="s">
        <v>75</v>
      </c>
      <c r="H49" s="19" t="s">
        <v>89</v>
      </c>
      <c r="I49" s="23">
        <f t="shared" si="0"/>
        <v>0.62324999999999997</v>
      </c>
      <c r="J49">
        <v>2</v>
      </c>
      <c r="K49" s="1">
        <f t="shared" si="2"/>
        <v>1.2464999999999999</v>
      </c>
      <c r="L49" s="19" t="s">
        <v>34</v>
      </c>
      <c r="M49" s="18">
        <f t="shared" si="1"/>
        <v>0</v>
      </c>
      <c r="N49">
        <v>1</v>
      </c>
      <c r="O49" s="1">
        <v>0</v>
      </c>
      <c r="P49" s="19" t="s">
        <v>14</v>
      </c>
      <c r="Q49" s="20" t="s">
        <v>77</v>
      </c>
      <c r="R49" s="21" t="s">
        <v>78</v>
      </c>
      <c r="S49" s="7"/>
      <c r="T49">
        <v>1.5</v>
      </c>
    </row>
    <row r="50" spans="1:20" ht="17" hidden="1" x14ac:dyDescent="0.2">
      <c r="A50" s="45" t="s">
        <v>338</v>
      </c>
      <c r="B50" s="46" t="s">
        <v>339</v>
      </c>
      <c r="C50" s="42" t="s">
        <v>364</v>
      </c>
      <c r="D50" s="47">
        <v>80</v>
      </c>
      <c r="E50" s="42" t="s">
        <v>365</v>
      </c>
      <c r="G50" s="18" t="s">
        <v>75</v>
      </c>
      <c r="H50" s="19" t="s">
        <v>90</v>
      </c>
      <c r="I50" s="23">
        <f t="shared" si="0"/>
        <v>8.2500000000000004E-3</v>
      </c>
      <c r="J50">
        <v>2</v>
      </c>
      <c r="K50" s="1">
        <f t="shared" si="2"/>
        <v>1.6500000000000001E-2</v>
      </c>
      <c r="L50" s="19" t="s">
        <v>21</v>
      </c>
      <c r="M50" s="18">
        <f t="shared" si="1"/>
        <v>0</v>
      </c>
      <c r="N50">
        <v>1</v>
      </c>
      <c r="O50" s="1">
        <v>0</v>
      </c>
      <c r="P50" s="19" t="s">
        <v>14</v>
      </c>
      <c r="Q50" s="20" t="s">
        <v>77</v>
      </c>
      <c r="R50" s="21" t="s">
        <v>78</v>
      </c>
      <c r="S50" s="7"/>
      <c r="T50">
        <v>1.5</v>
      </c>
    </row>
    <row r="51" spans="1:20" ht="17" hidden="1" x14ac:dyDescent="0.2">
      <c r="A51" s="45" t="s">
        <v>338</v>
      </c>
      <c r="B51" s="46" t="s">
        <v>339</v>
      </c>
      <c r="C51" s="42" t="s">
        <v>366</v>
      </c>
      <c r="D51" s="47">
        <v>0</v>
      </c>
      <c r="E51" s="42" t="s">
        <v>367</v>
      </c>
      <c r="G51" s="18" t="s">
        <v>75</v>
      </c>
      <c r="H51" s="19" t="s">
        <v>91</v>
      </c>
      <c r="I51" s="23">
        <f t="shared" si="0"/>
        <v>2.325E-2</v>
      </c>
      <c r="J51">
        <v>2</v>
      </c>
      <c r="K51" s="1">
        <f t="shared" si="2"/>
        <v>4.65E-2</v>
      </c>
      <c r="L51" s="19" t="s">
        <v>25</v>
      </c>
      <c r="M51" s="18">
        <f t="shared" si="1"/>
        <v>0</v>
      </c>
      <c r="N51">
        <v>1</v>
      </c>
      <c r="O51" s="1">
        <v>0</v>
      </c>
      <c r="P51" s="19" t="s">
        <v>14</v>
      </c>
      <c r="Q51" s="20" t="s">
        <v>77</v>
      </c>
      <c r="R51" s="21" t="s">
        <v>78</v>
      </c>
      <c r="S51" s="7"/>
      <c r="T51">
        <v>1.5</v>
      </c>
    </row>
    <row r="52" spans="1:20" ht="17" hidden="1" x14ac:dyDescent="0.2">
      <c r="A52" s="45" t="s">
        <v>338</v>
      </c>
      <c r="B52" s="46" t="s">
        <v>339</v>
      </c>
      <c r="C52" s="42" t="s">
        <v>368</v>
      </c>
      <c r="D52" s="47">
        <v>0</v>
      </c>
      <c r="E52" s="42" t="s">
        <v>369</v>
      </c>
      <c r="G52" s="18" t="s">
        <v>75</v>
      </c>
      <c r="H52" s="19" t="s">
        <v>92</v>
      </c>
      <c r="I52" s="23">
        <f t="shared" si="0"/>
        <v>6.3E-2</v>
      </c>
      <c r="J52">
        <v>2</v>
      </c>
      <c r="K52" s="1">
        <f t="shared" si="2"/>
        <v>0.126</v>
      </c>
      <c r="L52" s="19" t="s">
        <v>27</v>
      </c>
      <c r="M52" s="18">
        <f t="shared" si="1"/>
        <v>0</v>
      </c>
      <c r="N52">
        <v>1</v>
      </c>
      <c r="O52" s="1">
        <v>0</v>
      </c>
      <c r="P52" s="19" t="s">
        <v>14</v>
      </c>
      <c r="Q52" s="20" t="s">
        <v>77</v>
      </c>
      <c r="R52" s="21" t="s">
        <v>78</v>
      </c>
      <c r="S52" s="7"/>
      <c r="T52">
        <v>1.5</v>
      </c>
    </row>
    <row r="53" spans="1:20" ht="17" x14ac:dyDescent="0.2">
      <c r="A53" s="45" t="s">
        <v>338</v>
      </c>
      <c r="B53" s="46" t="s">
        <v>339</v>
      </c>
      <c r="C53" s="42" t="s">
        <v>370</v>
      </c>
      <c r="D53" s="47">
        <v>52</v>
      </c>
      <c r="E53" s="42" t="s">
        <v>371</v>
      </c>
      <c r="G53" s="18" t="s">
        <v>75</v>
      </c>
      <c r="H53" s="19" t="s">
        <v>93</v>
      </c>
      <c r="I53" s="18">
        <f t="shared" si="0"/>
        <v>0</v>
      </c>
      <c r="J53">
        <v>1</v>
      </c>
      <c r="K53" s="1">
        <v>0</v>
      </c>
      <c r="L53" s="19" t="s">
        <v>13</v>
      </c>
      <c r="M53" s="18">
        <f t="shared" si="1"/>
        <v>0</v>
      </c>
      <c r="N53">
        <v>1</v>
      </c>
      <c r="O53" s="1">
        <v>0</v>
      </c>
      <c r="P53" s="19" t="s">
        <v>14</v>
      </c>
      <c r="Q53" s="20" t="s">
        <v>14</v>
      </c>
      <c r="R53" s="21">
        <v>0</v>
      </c>
      <c r="S53" s="7"/>
    </row>
    <row r="54" spans="1:20" ht="17" x14ac:dyDescent="0.2">
      <c r="A54" s="45" t="s">
        <v>338</v>
      </c>
      <c r="B54" s="46" t="s">
        <v>339</v>
      </c>
      <c r="C54" s="42" t="s">
        <v>372</v>
      </c>
      <c r="D54" s="47">
        <v>0</v>
      </c>
      <c r="E54" s="42" t="s">
        <v>373</v>
      </c>
      <c r="G54" s="18" t="s">
        <v>75</v>
      </c>
      <c r="H54" s="19" t="s">
        <v>94</v>
      </c>
      <c r="I54" s="18">
        <f t="shared" si="0"/>
        <v>0</v>
      </c>
      <c r="J54">
        <v>1</v>
      </c>
      <c r="K54" s="1">
        <v>0</v>
      </c>
      <c r="L54" s="19" t="s">
        <v>13</v>
      </c>
      <c r="M54" s="18">
        <f t="shared" si="1"/>
        <v>0</v>
      </c>
      <c r="N54">
        <v>1</v>
      </c>
      <c r="O54" s="1">
        <v>0</v>
      </c>
      <c r="P54" s="19" t="s">
        <v>14</v>
      </c>
      <c r="Q54" s="20" t="s">
        <v>14</v>
      </c>
      <c r="R54" s="21">
        <v>0</v>
      </c>
      <c r="S54" s="7"/>
    </row>
    <row r="55" spans="1:20" ht="17" x14ac:dyDescent="0.2">
      <c r="A55" s="45" t="s">
        <v>338</v>
      </c>
      <c r="B55" s="46" t="s">
        <v>339</v>
      </c>
      <c r="C55" s="42" t="s">
        <v>374</v>
      </c>
      <c r="D55" s="47">
        <v>0</v>
      </c>
      <c r="E55" s="42" t="s">
        <v>375</v>
      </c>
      <c r="G55" s="18" t="s">
        <v>75</v>
      </c>
      <c r="H55" s="19" t="s">
        <v>95</v>
      </c>
      <c r="I55" s="18">
        <f t="shared" si="0"/>
        <v>0</v>
      </c>
      <c r="J55">
        <v>1</v>
      </c>
      <c r="K55" s="1">
        <v>0</v>
      </c>
      <c r="L55" s="19" t="s">
        <v>13</v>
      </c>
      <c r="M55" s="18">
        <f t="shared" si="1"/>
        <v>0</v>
      </c>
      <c r="N55">
        <v>1</v>
      </c>
      <c r="O55" s="1">
        <v>0</v>
      </c>
      <c r="P55" s="19" t="s">
        <v>14</v>
      </c>
      <c r="Q55" s="20" t="s">
        <v>14</v>
      </c>
      <c r="R55" s="21">
        <v>0</v>
      </c>
      <c r="S55" s="7"/>
    </row>
    <row r="56" spans="1:20" ht="17" x14ac:dyDescent="0.2">
      <c r="A56" s="45" t="s">
        <v>338</v>
      </c>
      <c r="B56" s="46" t="s">
        <v>339</v>
      </c>
      <c r="C56" s="42" t="s">
        <v>376</v>
      </c>
      <c r="D56" s="47">
        <v>26</v>
      </c>
      <c r="E56" s="42" t="s">
        <v>377</v>
      </c>
      <c r="G56" s="18" t="s">
        <v>75</v>
      </c>
      <c r="H56" s="19" t="s">
        <v>96</v>
      </c>
      <c r="I56" s="18">
        <f t="shared" si="0"/>
        <v>0</v>
      </c>
      <c r="J56">
        <v>1</v>
      </c>
      <c r="K56" s="1">
        <v>0</v>
      </c>
      <c r="L56" s="19" t="s">
        <v>13</v>
      </c>
      <c r="M56" s="18">
        <f t="shared" si="1"/>
        <v>0</v>
      </c>
      <c r="N56">
        <v>1</v>
      </c>
      <c r="O56" s="1">
        <v>0</v>
      </c>
      <c r="P56" s="19" t="s">
        <v>14</v>
      </c>
      <c r="Q56" s="20" t="s">
        <v>14</v>
      </c>
      <c r="R56" s="21">
        <v>0</v>
      </c>
      <c r="S56" s="7"/>
    </row>
    <row r="57" spans="1:20" ht="17" x14ac:dyDescent="0.2">
      <c r="A57" s="45" t="s">
        <v>338</v>
      </c>
      <c r="B57" s="46" t="s">
        <v>339</v>
      </c>
      <c r="C57" s="42" t="s">
        <v>378</v>
      </c>
      <c r="D57" s="47">
        <v>26</v>
      </c>
      <c r="E57" s="42" t="s">
        <v>379</v>
      </c>
      <c r="G57" s="18" t="s">
        <v>75</v>
      </c>
      <c r="H57" s="19" t="s">
        <v>97</v>
      </c>
      <c r="I57" s="18">
        <f t="shared" si="0"/>
        <v>0</v>
      </c>
      <c r="J57">
        <v>1</v>
      </c>
      <c r="K57" s="1">
        <v>0</v>
      </c>
      <c r="L57" s="19" t="s">
        <v>13</v>
      </c>
      <c r="M57" s="18">
        <f t="shared" si="1"/>
        <v>0</v>
      </c>
      <c r="N57">
        <v>1</v>
      </c>
      <c r="O57" s="1">
        <v>0</v>
      </c>
      <c r="P57" s="19" t="s">
        <v>14</v>
      </c>
      <c r="Q57" s="20" t="s">
        <v>14</v>
      </c>
      <c r="R57" s="21">
        <v>0</v>
      </c>
      <c r="S57" s="7"/>
    </row>
    <row r="58" spans="1:20" ht="17" x14ac:dyDescent="0.2">
      <c r="A58" s="45" t="s">
        <v>338</v>
      </c>
      <c r="B58" s="46" t="s">
        <v>339</v>
      </c>
      <c r="C58" s="42" t="s">
        <v>380</v>
      </c>
      <c r="D58" s="47">
        <v>0</v>
      </c>
      <c r="E58" s="42" t="s">
        <v>381</v>
      </c>
      <c r="G58" s="18" t="s">
        <v>75</v>
      </c>
      <c r="H58" s="19" t="s">
        <v>98</v>
      </c>
      <c r="I58" s="18">
        <f t="shared" si="0"/>
        <v>0</v>
      </c>
      <c r="J58">
        <v>1</v>
      </c>
      <c r="K58" s="1">
        <v>0</v>
      </c>
      <c r="L58" s="19" t="s">
        <v>13</v>
      </c>
      <c r="M58" s="18">
        <f t="shared" si="1"/>
        <v>0</v>
      </c>
      <c r="N58">
        <v>1</v>
      </c>
      <c r="O58" s="1">
        <v>0</v>
      </c>
      <c r="P58" s="19" t="s">
        <v>14</v>
      </c>
      <c r="Q58" s="20" t="s">
        <v>14</v>
      </c>
      <c r="R58" s="21">
        <v>0</v>
      </c>
      <c r="S58" s="7"/>
    </row>
    <row r="59" spans="1:20" ht="17" x14ac:dyDescent="0.2">
      <c r="A59" s="45" t="s">
        <v>338</v>
      </c>
      <c r="B59" s="46" t="s">
        <v>339</v>
      </c>
      <c r="C59" s="42" t="s">
        <v>382</v>
      </c>
      <c r="D59" s="47">
        <v>0</v>
      </c>
      <c r="E59" s="42" t="s">
        <v>383</v>
      </c>
      <c r="G59" s="18" t="s">
        <v>75</v>
      </c>
      <c r="H59" s="19" t="s">
        <v>99</v>
      </c>
      <c r="I59" s="18">
        <f t="shared" si="0"/>
        <v>0</v>
      </c>
      <c r="J59">
        <v>1</v>
      </c>
      <c r="K59" s="1">
        <v>0</v>
      </c>
      <c r="L59" s="19" t="s">
        <v>13</v>
      </c>
      <c r="M59" s="18">
        <f t="shared" si="1"/>
        <v>0</v>
      </c>
      <c r="N59">
        <v>1</v>
      </c>
      <c r="O59" s="1">
        <v>0</v>
      </c>
      <c r="P59" s="19" t="s">
        <v>14</v>
      </c>
      <c r="Q59" s="20" t="s">
        <v>14</v>
      </c>
      <c r="R59" s="21">
        <v>0</v>
      </c>
      <c r="S59" s="7"/>
    </row>
    <row r="60" spans="1:20" ht="17" x14ac:dyDescent="0.2">
      <c r="A60" s="45" t="s">
        <v>338</v>
      </c>
      <c r="B60" s="46" t="s">
        <v>339</v>
      </c>
      <c r="C60" s="42" t="s">
        <v>384</v>
      </c>
      <c r="D60" s="47">
        <v>0</v>
      </c>
      <c r="E60" s="42" t="s">
        <v>385</v>
      </c>
      <c r="G60" s="18" t="s">
        <v>75</v>
      </c>
      <c r="H60" s="19" t="s">
        <v>100</v>
      </c>
      <c r="I60" s="18">
        <f t="shared" si="0"/>
        <v>0</v>
      </c>
      <c r="J60">
        <v>1</v>
      </c>
      <c r="K60" s="1">
        <v>0</v>
      </c>
      <c r="L60" s="19" t="s">
        <v>13</v>
      </c>
      <c r="M60" s="18">
        <f t="shared" si="1"/>
        <v>0</v>
      </c>
      <c r="N60">
        <v>1</v>
      </c>
      <c r="O60" s="1">
        <v>0</v>
      </c>
      <c r="P60" s="19" t="s">
        <v>14</v>
      </c>
      <c r="Q60" s="20" t="s">
        <v>14</v>
      </c>
      <c r="R60" s="21">
        <v>0</v>
      </c>
      <c r="S60" s="7"/>
    </row>
    <row r="61" spans="1:20" ht="17" x14ac:dyDescent="0.2">
      <c r="A61" s="45" t="s">
        <v>338</v>
      </c>
      <c r="B61" s="46" t="s">
        <v>339</v>
      </c>
      <c r="C61" s="42" t="s">
        <v>386</v>
      </c>
      <c r="D61" s="47">
        <v>0</v>
      </c>
      <c r="E61" s="42" t="s">
        <v>387</v>
      </c>
      <c r="G61" s="18" t="s">
        <v>75</v>
      </c>
      <c r="H61" s="19" t="s">
        <v>101</v>
      </c>
      <c r="I61" s="18">
        <f t="shared" si="0"/>
        <v>0</v>
      </c>
      <c r="J61">
        <v>1</v>
      </c>
      <c r="K61" s="1">
        <v>0</v>
      </c>
      <c r="L61" s="19" t="s">
        <v>13</v>
      </c>
      <c r="M61" s="18">
        <f t="shared" si="1"/>
        <v>0</v>
      </c>
      <c r="N61">
        <v>1</v>
      </c>
      <c r="O61" s="1">
        <v>0</v>
      </c>
      <c r="P61" s="19" t="s">
        <v>14</v>
      </c>
      <c r="Q61" s="20" t="s">
        <v>14</v>
      </c>
      <c r="R61" s="21">
        <v>0</v>
      </c>
      <c r="S61" s="7"/>
    </row>
    <row r="62" spans="1:20" ht="17" x14ac:dyDescent="0.2">
      <c r="A62" s="45" t="s">
        <v>338</v>
      </c>
      <c r="B62" s="46" t="s">
        <v>339</v>
      </c>
      <c r="C62" s="42" t="s">
        <v>388</v>
      </c>
      <c r="D62" s="47">
        <v>20</v>
      </c>
      <c r="E62" s="42" t="s">
        <v>389</v>
      </c>
      <c r="G62" s="18" t="s">
        <v>75</v>
      </c>
      <c r="H62" s="19" t="s">
        <v>102</v>
      </c>
      <c r="I62" s="18">
        <f t="shared" si="0"/>
        <v>0</v>
      </c>
      <c r="J62">
        <v>1</v>
      </c>
      <c r="K62" s="1">
        <v>0</v>
      </c>
      <c r="L62" s="19" t="s">
        <v>13</v>
      </c>
      <c r="M62" s="18">
        <f t="shared" si="1"/>
        <v>0</v>
      </c>
      <c r="N62">
        <v>1</v>
      </c>
      <c r="O62" s="1">
        <v>0</v>
      </c>
      <c r="P62" s="19" t="s">
        <v>14</v>
      </c>
      <c r="Q62" s="20" t="s">
        <v>14</v>
      </c>
      <c r="R62" s="21">
        <v>0</v>
      </c>
      <c r="S62" s="7"/>
    </row>
    <row r="63" spans="1:20" ht="17" x14ac:dyDescent="0.2">
      <c r="A63" s="45" t="s">
        <v>338</v>
      </c>
      <c r="B63" s="46" t="s">
        <v>339</v>
      </c>
      <c r="C63" s="42" t="s">
        <v>390</v>
      </c>
      <c r="D63" s="47">
        <v>20</v>
      </c>
      <c r="E63" s="42" t="s">
        <v>391</v>
      </c>
      <c r="G63" s="18" t="s">
        <v>75</v>
      </c>
      <c r="H63" s="19" t="s">
        <v>103</v>
      </c>
      <c r="I63" s="18">
        <f t="shared" si="0"/>
        <v>0</v>
      </c>
      <c r="J63">
        <v>1</v>
      </c>
      <c r="K63" s="1">
        <v>0</v>
      </c>
      <c r="L63" s="19" t="s">
        <v>13</v>
      </c>
      <c r="M63" s="18">
        <f t="shared" si="1"/>
        <v>0</v>
      </c>
      <c r="N63">
        <v>1</v>
      </c>
      <c r="O63" s="1">
        <v>0</v>
      </c>
      <c r="P63" s="19" t="s">
        <v>14</v>
      </c>
      <c r="Q63" s="20" t="s">
        <v>14</v>
      </c>
      <c r="R63" s="21">
        <v>0</v>
      </c>
      <c r="S63" s="7"/>
    </row>
    <row r="64" spans="1:20" ht="17" x14ac:dyDescent="0.2">
      <c r="A64" s="45" t="s">
        <v>338</v>
      </c>
      <c r="B64" s="46" t="s">
        <v>339</v>
      </c>
      <c r="C64" s="42" t="s">
        <v>392</v>
      </c>
      <c r="D64" s="47">
        <v>13</v>
      </c>
      <c r="E64" s="42" t="s">
        <v>393</v>
      </c>
      <c r="G64" s="18" t="s">
        <v>75</v>
      </c>
      <c r="H64" s="19" t="s">
        <v>104</v>
      </c>
      <c r="I64" s="18">
        <f t="shared" si="0"/>
        <v>0</v>
      </c>
      <c r="J64">
        <v>1</v>
      </c>
      <c r="K64" s="1">
        <v>0</v>
      </c>
      <c r="L64" s="19" t="s">
        <v>13</v>
      </c>
      <c r="M64" s="18">
        <f t="shared" si="1"/>
        <v>0</v>
      </c>
      <c r="N64">
        <v>1</v>
      </c>
      <c r="O64" s="1">
        <v>0</v>
      </c>
      <c r="P64" s="19" t="s">
        <v>14</v>
      </c>
      <c r="Q64" s="20" t="s">
        <v>14</v>
      </c>
      <c r="R64" s="21">
        <v>0</v>
      </c>
      <c r="S64" s="7"/>
    </row>
    <row r="65" spans="1:19" ht="17" x14ac:dyDescent="0.2">
      <c r="A65" s="45" t="s">
        <v>338</v>
      </c>
      <c r="B65" s="46" t="s">
        <v>339</v>
      </c>
      <c r="C65" s="42" t="s">
        <v>394</v>
      </c>
      <c r="D65" s="47">
        <v>52</v>
      </c>
      <c r="E65" s="42" t="s">
        <v>395</v>
      </c>
      <c r="G65" s="18" t="s">
        <v>75</v>
      </c>
      <c r="H65" s="19" t="s">
        <v>105</v>
      </c>
      <c r="I65" s="18">
        <f t="shared" si="0"/>
        <v>0</v>
      </c>
      <c r="J65">
        <v>1</v>
      </c>
      <c r="K65" s="1">
        <v>0</v>
      </c>
      <c r="L65" s="19" t="s">
        <v>13</v>
      </c>
      <c r="M65" s="18">
        <f t="shared" si="1"/>
        <v>0</v>
      </c>
      <c r="N65">
        <v>1</v>
      </c>
      <c r="O65" s="1">
        <v>0</v>
      </c>
      <c r="P65" s="19" t="s">
        <v>14</v>
      </c>
      <c r="Q65" s="20" t="s">
        <v>14</v>
      </c>
      <c r="R65" s="21">
        <v>0</v>
      </c>
      <c r="S65" s="7"/>
    </row>
    <row r="66" spans="1:19" ht="17" x14ac:dyDescent="0.2">
      <c r="A66" s="45" t="s">
        <v>338</v>
      </c>
      <c r="B66" s="46" t="s">
        <v>339</v>
      </c>
      <c r="C66" s="42" t="s">
        <v>396</v>
      </c>
      <c r="D66" s="47">
        <v>0</v>
      </c>
      <c r="E66" s="42" t="s">
        <v>397</v>
      </c>
      <c r="G66" s="18" t="s">
        <v>75</v>
      </c>
      <c r="H66" s="19" t="s">
        <v>106</v>
      </c>
      <c r="I66" s="18">
        <f t="shared" si="0"/>
        <v>0</v>
      </c>
      <c r="J66">
        <v>1</v>
      </c>
      <c r="K66" s="1">
        <v>0</v>
      </c>
      <c r="L66" s="19" t="s">
        <v>13</v>
      </c>
      <c r="M66" s="18">
        <f t="shared" si="1"/>
        <v>0</v>
      </c>
      <c r="N66">
        <v>1</v>
      </c>
      <c r="O66" s="1">
        <v>0</v>
      </c>
      <c r="P66" s="19" t="s">
        <v>14</v>
      </c>
      <c r="Q66" s="20" t="s">
        <v>14</v>
      </c>
      <c r="R66" s="21">
        <v>0</v>
      </c>
      <c r="S66" s="7"/>
    </row>
    <row r="67" spans="1:19" ht="17" x14ac:dyDescent="0.2">
      <c r="A67" s="45" t="s">
        <v>338</v>
      </c>
      <c r="B67" s="46" t="s">
        <v>339</v>
      </c>
      <c r="C67" s="42" t="s">
        <v>398</v>
      </c>
      <c r="D67" s="47">
        <v>0</v>
      </c>
      <c r="E67" s="42" t="s">
        <v>399</v>
      </c>
      <c r="G67" s="18" t="s">
        <v>75</v>
      </c>
      <c r="H67" s="19" t="s">
        <v>107</v>
      </c>
      <c r="I67" s="18">
        <f t="shared" ref="I67:I87" si="3">K67/J67</f>
        <v>0</v>
      </c>
      <c r="J67">
        <v>1</v>
      </c>
      <c r="K67" s="1">
        <v>0</v>
      </c>
      <c r="L67" s="19" t="s">
        <v>13</v>
      </c>
      <c r="M67" s="18">
        <f t="shared" ref="M67:M87" si="4">O67/N67</f>
        <v>0</v>
      </c>
      <c r="N67">
        <v>1</v>
      </c>
      <c r="O67" s="1">
        <v>0</v>
      </c>
      <c r="P67" s="19" t="s">
        <v>14</v>
      </c>
      <c r="Q67" s="20" t="s">
        <v>14</v>
      </c>
      <c r="R67" s="21">
        <v>0</v>
      </c>
      <c r="S67" s="7"/>
    </row>
    <row r="68" spans="1:19" ht="17" hidden="1" x14ac:dyDescent="0.2">
      <c r="A68" s="36" t="s">
        <v>338</v>
      </c>
      <c r="B68" s="37" t="s">
        <v>70</v>
      </c>
      <c r="C68" s="38" t="s">
        <v>400</v>
      </c>
      <c r="D68" s="45" t="s">
        <v>401</v>
      </c>
      <c r="E68" s="38" t="s">
        <v>402</v>
      </c>
      <c r="G68" s="18" t="s">
        <v>75</v>
      </c>
      <c r="H68" s="19" t="s">
        <v>108</v>
      </c>
      <c r="I68" s="18">
        <f t="shared" si="3"/>
        <v>0.49030000000000001</v>
      </c>
      <c r="J68">
        <v>1</v>
      </c>
      <c r="K68" s="1">
        <v>0.49030000000000001</v>
      </c>
      <c r="L68" s="19" t="s">
        <v>70</v>
      </c>
      <c r="M68" s="18">
        <f t="shared" si="4"/>
        <v>0</v>
      </c>
      <c r="N68">
        <v>1</v>
      </c>
      <c r="O68" s="1">
        <v>0</v>
      </c>
      <c r="P68" s="19" t="s">
        <v>14</v>
      </c>
      <c r="Q68" s="20" t="s">
        <v>109</v>
      </c>
      <c r="R68" s="21" t="s">
        <v>67</v>
      </c>
      <c r="S68" s="7"/>
    </row>
    <row r="69" spans="1:19" ht="17" hidden="1" x14ac:dyDescent="0.2">
      <c r="A69" s="36" t="s">
        <v>338</v>
      </c>
      <c r="B69" s="37" t="s">
        <v>111</v>
      </c>
      <c r="C69" s="38" t="s">
        <v>403</v>
      </c>
      <c r="D69" s="45" t="s">
        <v>404</v>
      </c>
      <c r="E69" s="38" t="s">
        <v>405</v>
      </c>
      <c r="G69" s="18" t="s">
        <v>75</v>
      </c>
      <c r="H69" s="19" t="s">
        <v>110</v>
      </c>
      <c r="I69" s="18">
        <f t="shared" si="3"/>
        <v>1.2E-2</v>
      </c>
      <c r="J69">
        <v>1</v>
      </c>
      <c r="K69" s="1">
        <v>1.2E-2</v>
      </c>
      <c r="L69" s="19" t="s">
        <v>111</v>
      </c>
      <c r="M69" s="18">
        <f t="shared" si="4"/>
        <v>0</v>
      </c>
      <c r="N69">
        <v>1</v>
      </c>
      <c r="O69" s="1">
        <v>0</v>
      </c>
      <c r="P69" s="19" t="s">
        <v>14</v>
      </c>
      <c r="Q69" s="20" t="s">
        <v>109</v>
      </c>
      <c r="R69" s="21" t="s">
        <v>67</v>
      </c>
      <c r="S69" s="7"/>
    </row>
    <row r="70" spans="1:19" ht="17" x14ac:dyDescent="0.2">
      <c r="A70" s="36" t="s">
        <v>406</v>
      </c>
      <c r="B70" s="37" t="s">
        <v>407</v>
      </c>
      <c r="C70" s="38" t="s">
        <v>408</v>
      </c>
      <c r="D70" s="43">
        <v>30</v>
      </c>
      <c r="E70" s="38" t="s">
        <v>409</v>
      </c>
      <c r="G70" s="18" t="s">
        <v>112</v>
      </c>
      <c r="H70" s="19" t="s">
        <v>113</v>
      </c>
      <c r="I70" s="18">
        <f t="shared" si="3"/>
        <v>0</v>
      </c>
      <c r="J70">
        <v>1</v>
      </c>
      <c r="K70" s="1">
        <v>0</v>
      </c>
      <c r="L70" s="19" t="s">
        <v>14</v>
      </c>
      <c r="M70" s="18">
        <f t="shared" si="4"/>
        <v>0</v>
      </c>
      <c r="N70">
        <v>1</v>
      </c>
      <c r="O70" s="1">
        <v>0</v>
      </c>
      <c r="P70" s="19" t="s">
        <v>14</v>
      </c>
      <c r="Q70" s="20" t="s">
        <v>14</v>
      </c>
      <c r="R70" s="21">
        <v>0</v>
      </c>
      <c r="S70" s="7"/>
    </row>
    <row r="71" spans="1:19" ht="17" x14ac:dyDescent="0.2">
      <c r="A71" s="36" t="s">
        <v>406</v>
      </c>
      <c r="B71" s="37" t="s">
        <v>407</v>
      </c>
      <c r="C71" s="38" t="s">
        <v>410</v>
      </c>
      <c r="D71" s="43">
        <v>5</v>
      </c>
      <c r="E71" s="38" t="s">
        <v>411</v>
      </c>
      <c r="G71" s="18" t="s">
        <v>112</v>
      </c>
      <c r="H71" s="19" t="s">
        <v>114</v>
      </c>
      <c r="I71" s="18">
        <f t="shared" si="3"/>
        <v>0</v>
      </c>
      <c r="J71">
        <v>1</v>
      </c>
      <c r="K71" s="1">
        <v>0</v>
      </c>
      <c r="L71" s="19" t="s">
        <v>14</v>
      </c>
      <c r="M71" s="18">
        <f t="shared" si="4"/>
        <v>2.2499999999999999E-2</v>
      </c>
      <c r="N71">
        <v>1</v>
      </c>
      <c r="O71" s="1">
        <v>2.2499999999999999E-2</v>
      </c>
      <c r="P71" s="19" t="s">
        <v>115</v>
      </c>
      <c r="Q71" s="20" t="s">
        <v>116</v>
      </c>
      <c r="R71" s="21" t="s">
        <v>117</v>
      </c>
      <c r="S71" s="7"/>
    </row>
    <row r="72" spans="1:19" ht="17" x14ac:dyDescent="0.2">
      <c r="A72" s="36" t="s">
        <v>406</v>
      </c>
      <c r="B72" s="37" t="s">
        <v>407</v>
      </c>
      <c r="C72" s="38" t="s">
        <v>412</v>
      </c>
      <c r="D72" s="43">
        <v>1</v>
      </c>
      <c r="E72" s="38" t="s">
        <v>413</v>
      </c>
      <c r="G72" s="18" t="s">
        <v>112</v>
      </c>
      <c r="H72" s="19" t="s">
        <v>118</v>
      </c>
      <c r="I72" s="18">
        <f t="shared" si="3"/>
        <v>0</v>
      </c>
      <c r="J72">
        <v>1</v>
      </c>
      <c r="K72" s="1">
        <v>0</v>
      </c>
      <c r="L72" s="19" t="s">
        <v>14</v>
      </c>
      <c r="M72" s="18">
        <f t="shared" si="4"/>
        <v>0.22500000000000001</v>
      </c>
      <c r="N72">
        <v>1</v>
      </c>
      <c r="O72" s="1">
        <v>0.22500000000000001</v>
      </c>
      <c r="P72" s="19" t="s">
        <v>119</v>
      </c>
      <c r="Q72" s="20" t="s">
        <v>116</v>
      </c>
      <c r="R72" s="21" t="s">
        <v>117</v>
      </c>
      <c r="S72" s="7"/>
    </row>
    <row r="73" spans="1:19" ht="17" x14ac:dyDescent="0.2">
      <c r="A73" s="36" t="s">
        <v>406</v>
      </c>
      <c r="B73" s="37" t="s">
        <v>407</v>
      </c>
      <c r="C73" s="38" t="s">
        <v>414</v>
      </c>
      <c r="D73" s="43">
        <v>1</v>
      </c>
      <c r="E73" s="38" t="s">
        <v>415</v>
      </c>
      <c r="G73" s="18" t="s">
        <v>112</v>
      </c>
      <c r="H73" s="19" t="s">
        <v>120</v>
      </c>
      <c r="I73" s="18">
        <f t="shared" si="3"/>
        <v>0</v>
      </c>
      <c r="J73">
        <v>1</v>
      </c>
      <c r="K73" s="1">
        <v>0</v>
      </c>
      <c r="L73" s="19" t="s">
        <v>14</v>
      </c>
      <c r="M73" s="18">
        <f t="shared" si="4"/>
        <v>0.45</v>
      </c>
      <c r="N73">
        <v>1</v>
      </c>
      <c r="O73" s="1">
        <v>0.45</v>
      </c>
      <c r="P73" s="19" t="s">
        <v>121</v>
      </c>
      <c r="Q73" s="20" t="s">
        <v>116</v>
      </c>
      <c r="R73" s="21" t="s">
        <v>117</v>
      </c>
      <c r="S73" s="7"/>
    </row>
    <row r="74" spans="1:19" ht="17" x14ac:dyDescent="0.2">
      <c r="A74" s="36" t="s">
        <v>406</v>
      </c>
      <c r="B74" s="37" t="s">
        <v>416</v>
      </c>
      <c r="C74" s="38" t="s">
        <v>417</v>
      </c>
      <c r="D74" s="43">
        <v>403</v>
      </c>
      <c r="E74" s="40" t="s">
        <v>418</v>
      </c>
      <c r="G74" s="18" t="s">
        <v>112</v>
      </c>
      <c r="H74" s="19" t="s">
        <v>122</v>
      </c>
      <c r="I74" s="18">
        <f t="shared" si="3"/>
        <v>0</v>
      </c>
      <c r="J74">
        <v>1</v>
      </c>
      <c r="K74" s="1">
        <v>0</v>
      </c>
      <c r="L74" s="19" t="s">
        <v>14</v>
      </c>
      <c r="M74" s="18">
        <f t="shared" si="4"/>
        <v>0.1125</v>
      </c>
      <c r="N74">
        <v>2</v>
      </c>
      <c r="O74" s="1">
        <v>0.22500000000000001</v>
      </c>
      <c r="P74" s="19" t="s">
        <v>123</v>
      </c>
      <c r="Q74" s="20" t="s">
        <v>22</v>
      </c>
      <c r="R74" s="21" t="s">
        <v>23</v>
      </c>
      <c r="S74" s="7"/>
    </row>
    <row r="75" spans="1:19" ht="17" x14ac:dyDescent="0.2">
      <c r="A75" s="36" t="s">
        <v>406</v>
      </c>
      <c r="B75" s="37" t="s">
        <v>416</v>
      </c>
      <c r="C75" s="38" t="s">
        <v>419</v>
      </c>
      <c r="D75" s="43">
        <v>125</v>
      </c>
      <c r="E75" s="38" t="s">
        <v>420</v>
      </c>
      <c r="G75" s="18" t="s">
        <v>112</v>
      </c>
      <c r="H75" s="19" t="s">
        <v>124</v>
      </c>
      <c r="I75" s="18">
        <f t="shared" si="3"/>
        <v>0</v>
      </c>
      <c r="J75">
        <v>1</v>
      </c>
      <c r="K75" s="1">
        <v>0</v>
      </c>
      <c r="L75" s="19" t="s">
        <v>14</v>
      </c>
      <c r="M75" s="18">
        <f t="shared" si="4"/>
        <v>0.16875000000000001</v>
      </c>
      <c r="N75">
        <v>2</v>
      </c>
      <c r="O75" s="1">
        <v>0.33750000000000002</v>
      </c>
      <c r="P75" s="19" t="s">
        <v>125</v>
      </c>
      <c r="Q75" s="20" t="s">
        <v>22</v>
      </c>
      <c r="R75" s="21" t="s">
        <v>23</v>
      </c>
      <c r="S75" s="7"/>
    </row>
    <row r="76" spans="1:19" ht="17" x14ac:dyDescent="0.2">
      <c r="A76" s="36" t="s">
        <v>406</v>
      </c>
      <c r="B76" s="37" t="s">
        <v>416</v>
      </c>
      <c r="C76" s="38" t="s">
        <v>421</v>
      </c>
      <c r="D76" s="43">
        <v>0</v>
      </c>
      <c r="E76" s="40" t="s">
        <v>422</v>
      </c>
      <c r="G76" s="18" t="s">
        <v>112</v>
      </c>
      <c r="H76" s="19" t="s">
        <v>126</v>
      </c>
      <c r="I76" s="18">
        <f t="shared" si="3"/>
        <v>0</v>
      </c>
      <c r="J76">
        <v>1</v>
      </c>
      <c r="K76" s="1">
        <v>0</v>
      </c>
      <c r="L76" s="19" t="s">
        <v>14</v>
      </c>
      <c r="M76" s="18">
        <f t="shared" si="4"/>
        <v>0.22500000000000001</v>
      </c>
      <c r="N76">
        <v>2</v>
      </c>
      <c r="O76" s="1">
        <v>0.45</v>
      </c>
      <c r="P76" s="19" t="s">
        <v>127</v>
      </c>
      <c r="Q76" s="20" t="s">
        <v>22</v>
      </c>
      <c r="R76" s="21" t="s">
        <v>23</v>
      </c>
      <c r="S76" s="7"/>
    </row>
    <row r="77" spans="1:19" ht="17" x14ac:dyDescent="0.2">
      <c r="A77" s="36" t="s">
        <v>406</v>
      </c>
      <c r="B77" s="37" t="s">
        <v>416</v>
      </c>
      <c r="C77" s="38" t="s">
        <v>423</v>
      </c>
      <c r="D77" s="43">
        <v>510</v>
      </c>
      <c r="E77" s="40" t="s">
        <v>424</v>
      </c>
      <c r="G77" s="18" t="s">
        <v>112</v>
      </c>
      <c r="H77" s="19" t="s">
        <v>128</v>
      </c>
      <c r="I77" s="18">
        <f t="shared" si="3"/>
        <v>0</v>
      </c>
      <c r="J77">
        <v>1</v>
      </c>
      <c r="K77" s="1">
        <v>0</v>
      </c>
      <c r="L77" s="19" t="s">
        <v>14</v>
      </c>
      <c r="M77" s="18">
        <f t="shared" si="4"/>
        <v>0.1125</v>
      </c>
      <c r="N77">
        <v>2</v>
      </c>
      <c r="O77" s="1">
        <v>0.22500000000000001</v>
      </c>
      <c r="P77" s="19" t="s">
        <v>123</v>
      </c>
      <c r="Q77" s="20" t="s">
        <v>22</v>
      </c>
      <c r="R77" s="21" t="s">
        <v>23</v>
      </c>
      <c r="S77" s="7"/>
    </row>
    <row r="78" spans="1:19" ht="17" x14ac:dyDescent="0.2">
      <c r="A78" s="36" t="s">
        <v>406</v>
      </c>
      <c r="B78" s="37" t="s">
        <v>416</v>
      </c>
      <c r="C78" s="38" t="s">
        <v>425</v>
      </c>
      <c r="D78" s="43">
        <v>18</v>
      </c>
      <c r="E78" s="38" t="s">
        <v>426</v>
      </c>
      <c r="G78" s="18" t="s">
        <v>112</v>
      </c>
      <c r="H78" s="19" t="s">
        <v>129</v>
      </c>
      <c r="I78" s="18">
        <f t="shared" si="3"/>
        <v>0</v>
      </c>
      <c r="J78">
        <v>1</v>
      </c>
      <c r="K78" s="1">
        <v>0</v>
      </c>
      <c r="L78" s="19" t="s">
        <v>14</v>
      </c>
      <c r="M78" s="18">
        <f t="shared" si="4"/>
        <v>0.16875000000000001</v>
      </c>
      <c r="N78">
        <v>2</v>
      </c>
      <c r="O78" s="1">
        <v>0.33750000000000002</v>
      </c>
      <c r="P78" s="19" t="s">
        <v>125</v>
      </c>
      <c r="Q78" s="20" t="s">
        <v>22</v>
      </c>
      <c r="R78" s="21" t="s">
        <v>23</v>
      </c>
      <c r="S78" s="7"/>
    </row>
    <row r="79" spans="1:19" ht="17" x14ac:dyDescent="0.2">
      <c r="A79" s="36" t="s">
        <v>406</v>
      </c>
      <c r="B79" s="37" t="s">
        <v>416</v>
      </c>
      <c r="C79" s="38" t="s">
        <v>427</v>
      </c>
      <c r="D79" s="43">
        <v>0</v>
      </c>
      <c r="E79" s="40" t="s">
        <v>428</v>
      </c>
      <c r="G79" s="18" t="s">
        <v>112</v>
      </c>
      <c r="H79" s="19" t="s">
        <v>130</v>
      </c>
      <c r="I79" s="18">
        <f t="shared" si="3"/>
        <v>0</v>
      </c>
      <c r="J79">
        <v>1</v>
      </c>
      <c r="K79" s="1">
        <v>0</v>
      </c>
      <c r="L79" s="19" t="s">
        <v>14</v>
      </c>
      <c r="M79" s="18">
        <f t="shared" si="4"/>
        <v>0.22500000000000001</v>
      </c>
      <c r="N79">
        <v>2</v>
      </c>
      <c r="O79" s="1">
        <v>0.45</v>
      </c>
      <c r="P79" s="19" t="s">
        <v>127</v>
      </c>
      <c r="Q79" s="20" t="s">
        <v>22</v>
      </c>
      <c r="R79" s="21" t="s">
        <v>23</v>
      </c>
      <c r="S79" s="7"/>
    </row>
    <row r="80" spans="1:19" ht="17" x14ac:dyDescent="0.2">
      <c r="A80" s="48" t="s">
        <v>406</v>
      </c>
      <c r="B80" s="49" t="s">
        <v>429</v>
      </c>
      <c r="C80" s="40" t="s">
        <v>430</v>
      </c>
      <c r="D80" s="39">
        <v>83</v>
      </c>
      <c r="E80" s="40" t="s">
        <v>431</v>
      </c>
      <c r="G80" s="18" t="s">
        <v>112</v>
      </c>
      <c r="H80" s="19" t="s">
        <v>131</v>
      </c>
      <c r="I80" s="18">
        <f t="shared" si="3"/>
        <v>0</v>
      </c>
      <c r="J80">
        <v>1</v>
      </c>
      <c r="K80" s="1">
        <v>0</v>
      </c>
      <c r="L80" s="19" t="s">
        <v>14</v>
      </c>
      <c r="M80" s="18">
        <f t="shared" si="4"/>
        <v>0</v>
      </c>
      <c r="N80">
        <v>1</v>
      </c>
      <c r="O80" s="1">
        <v>0</v>
      </c>
      <c r="P80" s="19" t="s">
        <v>14</v>
      </c>
      <c r="Q80" s="20" t="s">
        <v>14</v>
      </c>
      <c r="R80" s="21">
        <v>0</v>
      </c>
      <c r="S80" s="7"/>
    </row>
    <row r="81" spans="1:19" ht="17" x14ac:dyDescent="0.2">
      <c r="A81" s="48" t="s">
        <v>406</v>
      </c>
      <c r="B81" s="49" t="s">
        <v>432</v>
      </c>
      <c r="C81" s="40" t="s">
        <v>433</v>
      </c>
      <c r="D81" s="39">
        <v>68</v>
      </c>
      <c r="E81" s="40" t="s">
        <v>434</v>
      </c>
      <c r="G81" s="18" t="s">
        <v>112</v>
      </c>
      <c r="H81" s="19" t="s">
        <v>132</v>
      </c>
      <c r="I81" s="18">
        <f t="shared" si="3"/>
        <v>0</v>
      </c>
      <c r="J81">
        <v>1</v>
      </c>
      <c r="K81" s="1">
        <v>0</v>
      </c>
      <c r="L81" s="19" t="s">
        <v>14</v>
      </c>
      <c r="M81" s="18">
        <f t="shared" si="4"/>
        <v>0</v>
      </c>
      <c r="N81">
        <v>1</v>
      </c>
      <c r="O81" s="1">
        <v>0</v>
      </c>
      <c r="P81" s="19" t="s">
        <v>14</v>
      </c>
      <c r="Q81" s="20" t="s">
        <v>14</v>
      </c>
      <c r="R81" s="21">
        <v>0</v>
      </c>
      <c r="S81" s="7"/>
    </row>
    <row r="82" spans="1:19" ht="17" x14ac:dyDescent="0.2">
      <c r="A82" s="50" t="s">
        <v>435</v>
      </c>
      <c r="B82" s="49" t="s">
        <v>432</v>
      </c>
      <c r="C82" s="51" t="s">
        <v>436</v>
      </c>
      <c r="D82" s="39">
        <v>91</v>
      </c>
      <c r="E82" s="51" t="s">
        <v>437</v>
      </c>
      <c r="G82" s="18" t="s">
        <v>112</v>
      </c>
      <c r="H82" s="19" t="s">
        <v>133</v>
      </c>
      <c r="I82" s="18">
        <f t="shared" si="3"/>
        <v>0</v>
      </c>
      <c r="J82">
        <v>1</v>
      </c>
      <c r="K82" s="1">
        <v>0</v>
      </c>
      <c r="L82" s="19" t="s">
        <v>14</v>
      </c>
      <c r="M82" s="18">
        <f t="shared" si="4"/>
        <v>0</v>
      </c>
      <c r="N82">
        <v>1</v>
      </c>
      <c r="O82" s="1">
        <v>0</v>
      </c>
      <c r="P82" s="19" t="s">
        <v>14</v>
      </c>
      <c r="Q82" s="20" t="s">
        <v>14</v>
      </c>
      <c r="R82" s="21">
        <v>0</v>
      </c>
      <c r="S82" s="7"/>
    </row>
    <row r="83" spans="1:19" ht="17" x14ac:dyDescent="0.2">
      <c r="A83" s="36" t="s">
        <v>406</v>
      </c>
      <c r="B83" s="37" t="s">
        <v>438</v>
      </c>
      <c r="C83" s="38" t="s">
        <v>439</v>
      </c>
      <c r="D83" s="43">
        <v>16</v>
      </c>
      <c r="E83" s="38" t="s">
        <v>440</v>
      </c>
      <c r="G83" s="18" t="s">
        <v>112</v>
      </c>
      <c r="H83" s="19" t="s">
        <v>134</v>
      </c>
      <c r="I83" s="18">
        <f t="shared" si="3"/>
        <v>0</v>
      </c>
      <c r="J83">
        <v>1</v>
      </c>
      <c r="K83" s="1">
        <v>0</v>
      </c>
      <c r="L83" s="19" t="s">
        <v>14</v>
      </c>
      <c r="M83" s="18">
        <f t="shared" si="4"/>
        <v>0.15</v>
      </c>
      <c r="N83">
        <v>1</v>
      </c>
      <c r="O83" s="1">
        <v>0.15</v>
      </c>
      <c r="P83" s="19" t="s">
        <v>135</v>
      </c>
      <c r="Q83" s="20" t="s">
        <v>136</v>
      </c>
      <c r="R83" s="21" t="s">
        <v>137</v>
      </c>
      <c r="S83" s="7"/>
    </row>
    <row r="84" spans="1:19" ht="17" x14ac:dyDescent="0.2">
      <c r="A84" s="36" t="s">
        <v>406</v>
      </c>
      <c r="B84" s="37" t="s">
        <v>438</v>
      </c>
      <c r="C84" s="38" t="s">
        <v>441</v>
      </c>
      <c r="D84" s="43">
        <v>7</v>
      </c>
      <c r="E84" s="38" t="s">
        <v>442</v>
      </c>
      <c r="G84" s="18" t="s">
        <v>112</v>
      </c>
      <c r="H84" s="19" t="s">
        <v>138</v>
      </c>
      <c r="I84" s="18">
        <f t="shared" si="3"/>
        <v>0</v>
      </c>
      <c r="J84">
        <v>1</v>
      </c>
      <c r="K84" s="1">
        <v>0</v>
      </c>
      <c r="L84" s="19" t="s">
        <v>14</v>
      </c>
      <c r="M84" s="18">
        <f t="shared" si="4"/>
        <v>0.4</v>
      </c>
      <c r="N84">
        <v>1</v>
      </c>
      <c r="O84" s="1">
        <v>0.4</v>
      </c>
      <c r="P84" s="19" t="s">
        <v>135</v>
      </c>
      <c r="Q84" s="20" t="s">
        <v>136</v>
      </c>
      <c r="R84" s="21" t="s">
        <v>137</v>
      </c>
      <c r="S84" s="7"/>
    </row>
    <row r="85" spans="1:19" ht="17" x14ac:dyDescent="0.2">
      <c r="A85" s="36" t="s">
        <v>406</v>
      </c>
      <c r="B85" s="37" t="s">
        <v>438</v>
      </c>
      <c r="C85" s="38" t="s">
        <v>443</v>
      </c>
      <c r="D85" s="43">
        <v>1</v>
      </c>
      <c r="E85" s="38" t="s">
        <v>444</v>
      </c>
      <c r="G85" s="18" t="s">
        <v>112</v>
      </c>
      <c r="H85" s="19" t="s">
        <v>139</v>
      </c>
      <c r="I85" s="18">
        <f t="shared" si="3"/>
        <v>0</v>
      </c>
      <c r="J85">
        <v>1</v>
      </c>
      <c r="K85" s="1">
        <v>0</v>
      </c>
      <c r="L85" s="19" t="s">
        <v>14</v>
      </c>
      <c r="M85" s="18">
        <f t="shared" si="4"/>
        <v>0.6</v>
      </c>
      <c r="N85">
        <v>1</v>
      </c>
      <c r="O85" s="1">
        <v>0.6</v>
      </c>
      <c r="P85" s="19" t="s">
        <v>135</v>
      </c>
      <c r="Q85" s="20" t="s">
        <v>136</v>
      </c>
      <c r="R85" s="21" t="s">
        <v>137</v>
      </c>
      <c r="S85" s="7"/>
    </row>
    <row r="86" spans="1:19" ht="17" x14ac:dyDescent="0.2">
      <c r="A86" s="48" t="s">
        <v>445</v>
      </c>
      <c r="B86" s="37" t="s">
        <v>446</v>
      </c>
      <c r="C86" s="38" t="s">
        <v>447</v>
      </c>
      <c r="D86" s="43">
        <v>4</v>
      </c>
      <c r="E86" s="38" t="s">
        <v>448</v>
      </c>
      <c r="G86" s="18" t="s">
        <v>112</v>
      </c>
      <c r="H86" s="19" t="s">
        <v>140</v>
      </c>
      <c r="I86" s="18">
        <f t="shared" si="3"/>
        <v>0</v>
      </c>
      <c r="J86">
        <v>1</v>
      </c>
      <c r="K86" s="1">
        <v>0</v>
      </c>
      <c r="L86" s="19" t="s">
        <v>14</v>
      </c>
      <c r="M86" s="18">
        <f t="shared" si="4"/>
        <v>0</v>
      </c>
      <c r="N86">
        <v>1</v>
      </c>
      <c r="O86" s="1">
        <v>0</v>
      </c>
      <c r="P86" s="19" t="s">
        <v>13</v>
      </c>
      <c r="Q86" s="20" t="s">
        <v>14</v>
      </c>
      <c r="R86" s="21">
        <v>0</v>
      </c>
      <c r="S86" s="7"/>
    </row>
    <row r="87" spans="1:19" ht="18" thickBot="1" x14ac:dyDescent="0.25">
      <c r="A87" s="48" t="s">
        <v>445</v>
      </c>
      <c r="B87" s="37" t="s">
        <v>446</v>
      </c>
      <c r="C87" s="38" t="s">
        <v>449</v>
      </c>
      <c r="D87" s="43">
        <v>98</v>
      </c>
      <c r="E87" s="38" t="s">
        <v>450</v>
      </c>
      <c r="G87" s="24" t="s">
        <v>112</v>
      </c>
      <c r="H87" s="25" t="s">
        <v>141</v>
      </c>
      <c r="I87" s="24">
        <f t="shared" si="3"/>
        <v>0</v>
      </c>
      <c r="J87" s="26">
        <v>1</v>
      </c>
      <c r="K87" s="27">
        <v>0</v>
      </c>
      <c r="L87" s="25" t="s">
        <v>14</v>
      </c>
      <c r="M87" s="24">
        <f t="shared" si="4"/>
        <v>0.6</v>
      </c>
      <c r="N87" s="26">
        <v>1</v>
      </c>
      <c r="O87" s="27">
        <v>0.6</v>
      </c>
      <c r="P87" s="25" t="s">
        <v>71</v>
      </c>
      <c r="Q87" s="28" t="s">
        <v>109</v>
      </c>
      <c r="R87" s="29" t="s">
        <v>142</v>
      </c>
      <c r="S87" s="7"/>
    </row>
    <row r="88" spans="1:19" x14ac:dyDescent="0.2">
      <c r="A88" s="52"/>
      <c r="B88" s="52"/>
      <c r="C88" s="52"/>
      <c r="D88" s="52"/>
      <c r="E88" s="52"/>
    </row>
    <row r="89" spans="1:19" x14ac:dyDescent="0.2">
      <c r="A89" s="53"/>
      <c r="B89" s="54" t="s">
        <v>451</v>
      </c>
      <c r="C89" s="55"/>
      <c r="D89" s="56"/>
      <c r="E89" s="56"/>
    </row>
  </sheetData>
  <autoFilter ref="G1:R87" xr:uid="{3B020867-B258-CF47-B020-CF66A8A6D7BA}">
    <filterColumn colId="2">
      <filters>
        <filter val="0"/>
      </filters>
    </filterColumn>
  </autoFilter>
  <mergeCells count="1">
    <mergeCell ref="B89:C89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75BD-80CC-8F42-9852-57A4E2B597A3}">
  <sheetPr codeName="Sheet6"/>
  <dimension ref="A1:M45"/>
  <sheetViews>
    <sheetView zoomScale="115" zoomScaleNormal="7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6" sqref="D36"/>
    </sheetView>
  </sheetViews>
  <sheetFormatPr baseColWidth="10" defaultColWidth="11" defaultRowHeight="16" x14ac:dyDescent="0.2"/>
  <cols>
    <col min="1" max="1" width="23" style="57" bestFit="1" customWidth="1"/>
    <col min="2" max="2" width="31.6640625" style="57" bestFit="1" customWidth="1"/>
    <col min="3" max="3" width="18" style="57" bestFit="1" customWidth="1"/>
    <col min="4" max="4" width="101.1640625" style="57" customWidth="1"/>
    <col min="5" max="5" width="17.6640625" style="69" bestFit="1" customWidth="1"/>
    <col min="6" max="6" width="20.6640625" style="69" bestFit="1" customWidth="1"/>
    <col min="7" max="7" width="10.33203125" style="69" customWidth="1"/>
    <col min="8" max="8" width="23.33203125" style="72" bestFit="1" customWidth="1"/>
    <col min="9" max="9" width="80.5" style="69" bestFit="1" customWidth="1"/>
    <col min="10" max="10" width="50.33203125" style="69" bestFit="1" customWidth="1"/>
    <col min="11" max="11" width="14" style="57" bestFit="1" customWidth="1"/>
    <col min="12" max="12" width="50.33203125" style="69" customWidth="1"/>
    <col min="13" max="16384" width="11" style="69"/>
  </cols>
  <sheetData>
    <row r="1" spans="1:12" s="60" customFormat="1" x14ac:dyDescent="0.2">
      <c r="A1" s="58" t="s">
        <v>254</v>
      </c>
      <c r="B1" s="58" t="s">
        <v>255</v>
      </c>
      <c r="C1" s="59" t="s">
        <v>256</v>
      </c>
      <c r="D1" s="62" t="s">
        <v>452</v>
      </c>
      <c r="E1" s="63" t="s">
        <v>1</v>
      </c>
      <c r="F1" s="61" t="s">
        <v>2</v>
      </c>
      <c r="G1" s="64" t="s">
        <v>3</v>
      </c>
      <c r="H1" s="65" t="s">
        <v>4</v>
      </c>
      <c r="I1" s="16" t="s">
        <v>9</v>
      </c>
      <c r="J1" s="17" t="s">
        <v>10</v>
      </c>
      <c r="K1" s="58" t="s">
        <v>257</v>
      </c>
      <c r="L1" s="30"/>
    </row>
    <row r="2" spans="1:12" x14ac:dyDescent="0.2">
      <c r="A2" s="66" t="s">
        <v>259</v>
      </c>
      <c r="B2" s="67" t="s">
        <v>273</v>
      </c>
      <c r="C2" s="68" t="s">
        <v>274</v>
      </c>
      <c r="D2" s="68" t="s">
        <v>275</v>
      </c>
      <c r="E2" s="71" t="s">
        <v>20</v>
      </c>
      <c r="F2" s="70">
        <f t="shared" ref="F2:F41" si="0">H2/G2</f>
        <v>5.4999999999999997E-3</v>
      </c>
      <c r="G2" s="69">
        <v>2</v>
      </c>
      <c r="H2" s="72">
        <v>1.0999999999999999E-2</v>
      </c>
      <c r="I2" s="20" t="s">
        <v>22</v>
      </c>
      <c r="J2" s="21" t="s">
        <v>23</v>
      </c>
      <c r="K2" s="43">
        <v>10</v>
      </c>
      <c r="L2" s="7"/>
    </row>
    <row r="3" spans="1:12" x14ac:dyDescent="0.2">
      <c r="A3" s="66" t="s">
        <v>259</v>
      </c>
      <c r="B3" s="67" t="s">
        <v>273</v>
      </c>
      <c r="C3" s="68" t="s">
        <v>276</v>
      </c>
      <c r="D3" s="68" t="s">
        <v>277</v>
      </c>
      <c r="E3" s="71" t="s">
        <v>24</v>
      </c>
      <c r="F3" s="70">
        <f t="shared" si="0"/>
        <v>1.55E-2</v>
      </c>
      <c r="G3" s="69">
        <v>2</v>
      </c>
      <c r="H3" s="72">
        <v>3.1E-2</v>
      </c>
      <c r="I3" s="20" t="s">
        <v>22</v>
      </c>
      <c r="J3" s="21" t="s">
        <v>23</v>
      </c>
      <c r="K3" s="43">
        <v>10</v>
      </c>
      <c r="L3" s="7"/>
    </row>
    <row r="4" spans="1:12" x14ac:dyDescent="0.2">
      <c r="A4" s="66" t="s">
        <v>259</v>
      </c>
      <c r="B4" s="67" t="s">
        <v>273</v>
      </c>
      <c r="C4" s="68" t="s">
        <v>278</v>
      </c>
      <c r="D4" s="68" t="s">
        <v>279</v>
      </c>
      <c r="E4" s="71" t="s">
        <v>26</v>
      </c>
      <c r="F4" s="70">
        <f t="shared" si="0"/>
        <v>4.2000000000000003E-2</v>
      </c>
      <c r="G4" s="69">
        <v>2</v>
      </c>
      <c r="H4" s="72">
        <v>8.4000000000000005E-2</v>
      </c>
      <c r="I4" s="20" t="s">
        <v>22</v>
      </c>
      <c r="J4" s="21" t="s">
        <v>23</v>
      </c>
      <c r="K4" s="43">
        <v>10</v>
      </c>
      <c r="L4" s="7"/>
    </row>
    <row r="5" spans="1:12" x14ac:dyDescent="0.2">
      <c r="A5" s="66" t="s">
        <v>259</v>
      </c>
      <c r="B5" s="67" t="s">
        <v>273</v>
      </c>
      <c r="C5" s="68" t="s">
        <v>280</v>
      </c>
      <c r="D5" s="68" t="s">
        <v>281</v>
      </c>
      <c r="E5" s="71" t="s">
        <v>28</v>
      </c>
      <c r="F5" s="70">
        <f t="shared" si="0"/>
        <v>5.4999999999999997E-3</v>
      </c>
      <c r="G5" s="69">
        <v>2</v>
      </c>
      <c r="H5" s="72">
        <v>1.0999999999999999E-2</v>
      </c>
      <c r="I5" s="20" t="s">
        <v>30</v>
      </c>
      <c r="J5" s="21" t="s">
        <v>23</v>
      </c>
      <c r="K5" s="43">
        <v>20</v>
      </c>
      <c r="L5" s="7"/>
    </row>
    <row r="6" spans="1:12" x14ac:dyDescent="0.2">
      <c r="A6" s="66" t="s">
        <v>259</v>
      </c>
      <c r="B6" s="67" t="s">
        <v>273</v>
      </c>
      <c r="C6" s="68" t="s">
        <v>282</v>
      </c>
      <c r="D6" s="68" t="s">
        <v>283</v>
      </c>
      <c r="E6" s="71" t="s">
        <v>31</v>
      </c>
      <c r="F6" s="70">
        <f t="shared" si="0"/>
        <v>0.109</v>
      </c>
      <c r="G6" s="69">
        <v>2</v>
      </c>
      <c r="H6" s="72">
        <v>0.218</v>
      </c>
      <c r="I6" s="20" t="s">
        <v>30</v>
      </c>
      <c r="J6" s="21" t="s">
        <v>23</v>
      </c>
      <c r="K6" s="43">
        <v>35</v>
      </c>
      <c r="L6" s="7"/>
    </row>
    <row r="7" spans="1:12" x14ac:dyDescent="0.2">
      <c r="A7" s="66" t="s">
        <v>259</v>
      </c>
      <c r="B7" s="67" t="s">
        <v>273</v>
      </c>
      <c r="C7" s="68" t="s">
        <v>284</v>
      </c>
      <c r="D7" s="68" t="s">
        <v>285</v>
      </c>
      <c r="E7" s="71" t="s">
        <v>33</v>
      </c>
      <c r="F7" s="70">
        <f t="shared" si="0"/>
        <v>0.41549999999999998</v>
      </c>
      <c r="G7" s="69">
        <v>2</v>
      </c>
      <c r="H7" s="72">
        <v>0.83099999999999996</v>
      </c>
      <c r="I7" s="20" t="s">
        <v>30</v>
      </c>
      <c r="J7" s="21" t="s">
        <v>23</v>
      </c>
      <c r="K7" s="43">
        <v>25</v>
      </c>
      <c r="L7" s="7"/>
    </row>
    <row r="8" spans="1:12" x14ac:dyDescent="0.2">
      <c r="A8" s="66" t="s">
        <v>259</v>
      </c>
      <c r="B8" s="67" t="s">
        <v>273</v>
      </c>
      <c r="C8" s="68" t="s">
        <v>286</v>
      </c>
      <c r="D8" s="68" t="s">
        <v>287</v>
      </c>
      <c r="E8" s="71" t="s">
        <v>35</v>
      </c>
      <c r="F8" s="70">
        <f t="shared" si="0"/>
        <v>8.8000000000000005E-3</v>
      </c>
      <c r="G8" s="69">
        <v>1</v>
      </c>
      <c r="H8" s="72">
        <v>8.8000000000000005E-3</v>
      </c>
      <c r="I8" s="20" t="s">
        <v>22</v>
      </c>
      <c r="J8" s="21" t="s">
        <v>23</v>
      </c>
      <c r="K8" s="43">
        <v>10</v>
      </c>
      <c r="L8" s="7"/>
    </row>
    <row r="9" spans="1:12" x14ac:dyDescent="0.2">
      <c r="A9" s="66" t="s">
        <v>259</v>
      </c>
      <c r="B9" s="67" t="s">
        <v>273</v>
      </c>
      <c r="C9" s="68" t="s">
        <v>288</v>
      </c>
      <c r="D9" s="68" t="s">
        <v>289</v>
      </c>
      <c r="E9" s="71" t="s">
        <v>37</v>
      </c>
      <c r="F9" s="70">
        <f t="shared" si="0"/>
        <v>0.1744</v>
      </c>
      <c r="G9" s="69">
        <v>1</v>
      </c>
      <c r="H9" s="72">
        <v>0.1744</v>
      </c>
      <c r="I9" s="20" t="s">
        <v>22</v>
      </c>
      <c r="J9" s="21" t="s">
        <v>23</v>
      </c>
      <c r="K9" s="43">
        <v>3</v>
      </c>
      <c r="L9" s="7"/>
    </row>
    <row r="10" spans="1:12" x14ac:dyDescent="0.2">
      <c r="A10" s="66" t="s">
        <v>259</v>
      </c>
      <c r="B10" s="67" t="s">
        <v>273</v>
      </c>
      <c r="C10" s="68" t="s">
        <v>290</v>
      </c>
      <c r="D10" s="68" t="s">
        <v>291</v>
      </c>
      <c r="E10" s="71" t="s">
        <v>39</v>
      </c>
      <c r="F10" s="70">
        <f t="shared" si="0"/>
        <v>0.66479999999999995</v>
      </c>
      <c r="G10" s="69">
        <v>1</v>
      </c>
      <c r="H10" s="72">
        <v>0.66479999999999995</v>
      </c>
      <c r="I10" s="20" t="s">
        <v>22</v>
      </c>
      <c r="J10" s="21" t="s">
        <v>23</v>
      </c>
      <c r="K10" s="43">
        <v>1</v>
      </c>
      <c r="L10" s="7"/>
    </row>
    <row r="11" spans="1:12" x14ac:dyDescent="0.2">
      <c r="A11" s="66" t="s">
        <v>259</v>
      </c>
      <c r="B11" s="67" t="s">
        <v>273</v>
      </c>
      <c r="C11" s="68" t="s">
        <v>292</v>
      </c>
      <c r="D11" s="68" t="s">
        <v>293</v>
      </c>
      <c r="E11" s="71" t="s">
        <v>41</v>
      </c>
      <c r="F11" s="70">
        <f t="shared" si="0"/>
        <v>5.4999999999999997E-3</v>
      </c>
      <c r="G11" s="69">
        <v>2</v>
      </c>
      <c r="H11" s="72">
        <v>1.0999999999999999E-2</v>
      </c>
      <c r="I11" s="20" t="s">
        <v>22</v>
      </c>
      <c r="J11" s="21" t="s">
        <v>23</v>
      </c>
      <c r="K11" s="43">
        <v>20</v>
      </c>
      <c r="L11" s="7"/>
    </row>
    <row r="12" spans="1:12" x14ac:dyDescent="0.2">
      <c r="A12" s="66" t="s">
        <v>259</v>
      </c>
      <c r="B12" s="67" t="s">
        <v>273</v>
      </c>
      <c r="C12" s="68" t="s">
        <v>294</v>
      </c>
      <c r="D12" s="68" t="s">
        <v>295</v>
      </c>
      <c r="E12" s="71" t="s">
        <v>42</v>
      </c>
      <c r="F12" s="70">
        <f t="shared" si="0"/>
        <v>0.109</v>
      </c>
      <c r="G12" s="69">
        <v>2</v>
      </c>
      <c r="H12" s="72">
        <v>0.218</v>
      </c>
      <c r="I12" s="20" t="s">
        <v>22</v>
      </c>
      <c r="J12" s="21" t="s">
        <v>23</v>
      </c>
      <c r="K12" s="43">
        <v>31</v>
      </c>
      <c r="L12" s="7"/>
    </row>
    <row r="13" spans="1:12" x14ac:dyDescent="0.2">
      <c r="A13" s="66" t="s">
        <v>259</v>
      </c>
      <c r="B13" s="67" t="s">
        <v>273</v>
      </c>
      <c r="C13" s="68" t="s">
        <v>296</v>
      </c>
      <c r="D13" s="68" t="s">
        <v>297</v>
      </c>
      <c r="E13" s="71" t="s">
        <v>43</v>
      </c>
      <c r="F13" s="70">
        <f t="shared" si="0"/>
        <v>0.41549999999999998</v>
      </c>
      <c r="G13" s="69">
        <v>2</v>
      </c>
      <c r="H13" s="72">
        <v>0.83099999999999996</v>
      </c>
      <c r="I13" s="20" t="s">
        <v>22</v>
      </c>
      <c r="J13" s="21" t="s">
        <v>23</v>
      </c>
      <c r="K13" s="43">
        <v>25</v>
      </c>
      <c r="L13" s="7"/>
    </row>
    <row r="14" spans="1:12" x14ac:dyDescent="0.2">
      <c r="A14" s="66" t="s">
        <v>259</v>
      </c>
      <c r="B14" s="67" t="s">
        <v>273</v>
      </c>
      <c r="C14" s="68" t="s">
        <v>298</v>
      </c>
      <c r="D14" s="68" t="s">
        <v>299</v>
      </c>
      <c r="E14" s="71" t="s">
        <v>44</v>
      </c>
      <c r="F14" s="70">
        <f t="shared" si="0"/>
        <v>5.4999999999999997E-3</v>
      </c>
      <c r="G14" s="69">
        <v>2</v>
      </c>
      <c r="H14" s="72">
        <v>1.0999999999999999E-2</v>
      </c>
      <c r="I14" s="20" t="s">
        <v>22</v>
      </c>
      <c r="J14" s="21" t="s">
        <v>23</v>
      </c>
      <c r="K14" s="43">
        <v>11</v>
      </c>
      <c r="L14" s="7"/>
    </row>
    <row r="15" spans="1:12" x14ac:dyDescent="0.2">
      <c r="A15" s="66" t="s">
        <v>259</v>
      </c>
      <c r="B15" s="67" t="s">
        <v>273</v>
      </c>
      <c r="C15" s="68" t="s">
        <v>300</v>
      </c>
      <c r="D15" s="68" t="s">
        <v>301</v>
      </c>
      <c r="E15" s="71" t="s">
        <v>45</v>
      </c>
      <c r="F15" s="70">
        <f t="shared" si="0"/>
        <v>1.55E-2</v>
      </c>
      <c r="G15" s="69">
        <v>2</v>
      </c>
      <c r="H15" s="72">
        <v>3.1E-2</v>
      </c>
      <c r="I15" s="20" t="s">
        <v>22</v>
      </c>
      <c r="J15" s="21" t="s">
        <v>23</v>
      </c>
      <c r="K15" s="43">
        <v>13</v>
      </c>
      <c r="L15" s="7"/>
    </row>
    <row r="16" spans="1:12" x14ac:dyDescent="0.2">
      <c r="A16" s="66" t="s">
        <v>259</v>
      </c>
      <c r="B16" s="67" t="s">
        <v>273</v>
      </c>
      <c r="C16" s="68" t="s">
        <v>302</v>
      </c>
      <c r="D16" s="68" t="s">
        <v>303</v>
      </c>
      <c r="E16" s="71" t="s">
        <v>46</v>
      </c>
      <c r="F16" s="70">
        <f t="shared" si="0"/>
        <v>4.2000000000000003E-2</v>
      </c>
      <c r="G16" s="69">
        <v>2</v>
      </c>
      <c r="H16" s="72">
        <v>8.4000000000000005E-2</v>
      </c>
      <c r="I16" s="20" t="s">
        <v>22</v>
      </c>
      <c r="J16" s="21" t="s">
        <v>23</v>
      </c>
      <c r="K16" s="43">
        <v>11</v>
      </c>
      <c r="L16" s="7"/>
    </row>
    <row r="17" spans="1:13" x14ac:dyDescent="0.2">
      <c r="A17" s="66" t="s">
        <v>259</v>
      </c>
      <c r="B17" s="67" t="s">
        <v>304</v>
      </c>
      <c r="C17" s="68" t="s">
        <v>305</v>
      </c>
      <c r="D17" s="68" t="s">
        <v>306</v>
      </c>
      <c r="E17" s="71" t="s">
        <v>47</v>
      </c>
      <c r="F17" s="70">
        <f t="shared" si="0"/>
        <v>2.7499999999999998E-3</v>
      </c>
      <c r="G17" s="69">
        <v>4</v>
      </c>
      <c r="H17" s="72">
        <v>1.0999999999999999E-2</v>
      </c>
      <c r="I17" s="20" t="s">
        <v>22</v>
      </c>
      <c r="J17" s="21" t="s">
        <v>23</v>
      </c>
      <c r="K17" s="43">
        <v>60</v>
      </c>
      <c r="L17" s="7"/>
    </row>
    <row r="18" spans="1:13" x14ac:dyDescent="0.2">
      <c r="A18" s="66" t="s">
        <v>259</v>
      </c>
      <c r="B18" s="67" t="s">
        <v>304</v>
      </c>
      <c r="C18" s="68" t="s">
        <v>307</v>
      </c>
      <c r="D18" s="68" t="s">
        <v>308</v>
      </c>
      <c r="E18" s="71" t="s">
        <v>48</v>
      </c>
      <c r="F18" s="70">
        <f t="shared" si="0"/>
        <v>2.7499999999999998E-3</v>
      </c>
      <c r="G18" s="69">
        <v>4</v>
      </c>
      <c r="H18" s="72">
        <v>1.0999999999999999E-2</v>
      </c>
      <c r="I18" s="20" t="s">
        <v>22</v>
      </c>
      <c r="J18" s="21" t="s">
        <v>23</v>
      </c>
      <c r="K18" s="43">
        <v>130</v>
      </c>
      <c r="L18" s="7"/>
    </row>
    <row r="19" spans="1:13" x14ac:dyDescent="0.2">
      <c r="A19" s="66" t="s">
        <v>259</v>
      </c>
      <c r="B19" s="67" t="s">
        <v>304</v>
      </c>
      <c r="C19" s="68" t="s">
        <v>309</v>
      </c>
      <c r="D19" s="68" t="s">
        <v>310</v>
      </c>
      <c r="E19" s="71" t="s">
        <v>49</v>
      </c>
      <c r="F19" s="70">
        <f t="shared" si="0"/>
        <v>4.4000000000000003E-3</v>
      </c>
      <c r="G19" s="69">
        <v>2</v>
      </c>
      <c r="H19" s="72">
        <v>8.8000000000000005E-3</v>
      </c>
      <c r="I19" s="20" t="s">
        <v>22</v>
      </c>
      <c r="J19" s="21" t="s">
        <v>23</v>
      </c>
      <c r="K19" s="43">
        <v>50</v>
      </c>
      <c r="L19" s="7"/>
    </row>
    <row r="20" spans="1:13" x14ac:dyDescent="0.2">
      <c r="A20" s="66" t="s">
        <v>259</v>
      </c>
      <c r="B20" s="67" t="s">
        <v>304</v>
      </c>
      <c r="C20" s="68" t="s">
        <v>311</v>
      </c>
      <c r="D20" s="68" t="s">
        <v>312</v>
      </c>
      <c r="E20" s="71" t="s">
        <v>50</v>
      </c>
      <c r="F20" s="70">
        <f t="shared" si="0"/>
        <v>2.7499999999999998E-3</v>
      </c>
      <c r="G20" s="69">
        <v>4</v>
      </c>
      <c r="H20" s="72">
        <v>1.0999999999999999E-2</v>
      </c>
      <c r="I20" s="20" t="s">
        <v>22</v>
      </c>
      <c r="J20" s="21" t="s">
        <v>23</v>
      </c>
      <c r="K20" s="43">
        <v>120</v>
      </c>
      <c r="L20" s="7"/>
    </row>
    <row r="21" spans="1:13" x14ac:dyDescent="0.2">
      <c r="A21" s="66" t="s">
        <v>259</v>
      </c>
      <c r="B21" s="67" t="s">
        <v>304</v>
      </c>
      <c r="C21" s="68" t="s">
        <v>313</v>
      </c>
      <c r="D21" s="68" t="s">
        <v>314</v>
      </c>
      <c r="E21" s="71" t="s">
        <v>51</v>
      </c>
      <c r="F21" s="70">
        <f t="shared" si="0"/>
        <v>2.7499999999999998E-3</v>
      </c>
      <c r="G21" s="69">
        <v>4</v>
      </c>
      <c r="H21" s="72">
        <v>1.0999999999999999E-2</v>
      </c>
      <c r="I21" s="20" t="s">
        <v>22</v>
      </c>
      <c r="J21" s="21" t="s">
        <v>23</v>
      </c>
      <c r="K21" s="43">
        <v>83</v>
      </c>
      <c r="L21" s="7"/>
    </row>
    <row r="22" spans="1:13" x14ac:dyDescent="0.2">
      <c r="A22" s="66" t="s">
        <v>259</v>
      </c>
      <c r="B22" s="67" t="s">
        <v>315</v>
      </c>
      <c r="C22" s="68" t="s">
        <v>316</v>
      </c>
      <c r="D22" s="68" t="s">
        <v>317</v>
      </c>
      <c r="E22" s="71" t="s">
        <v>52</v>
      </c>
      <c r="F22" s="70">
        <f t="shared" si="0"/>
        <v>1.7000000000000001E-2</v>
      </c>
      <c r="G22" s="69">
        <v>1</v>
      </c>
      <c r="H22" s="72">
        <v>1.7000000000000001E-2</v>
      </c>
      <c r="I22" s="20" t="s">
        <v>55</v>
      </c>
      <c r="J22" s="21" t="s">
        <v>56</v>
      </c>
      <c r="K22" s="43">
        <v>48</v>
      </c>
      <c r="L22" s="7"/>
    </row>
    <row r="23" spans="1:13" x14ac:dyDescent="0.2">
      <c r="A23" s="66" t="s">
        <v>259</v>
      </c>
      <c r="B23" s="67" t="s">
        <v>315</v>
      </c>
      <c r="C23" s="68" t="s">
        <v>318</v>
      </c>
      <c r="D23" s="68" t="s">
        <v>319</v>
      </c>
      <c r="E23" s="71" t="s">
        <v>57</v>
      </c>
      <c r="F23" s="70">
        <f t="shared" si="0"/>
        <v>2.8000000000000001E-2</v>
      </c>
      <c r="G23" s="69">
        <v>1</v>
      </c>
      <c r="H23" s="72">
        <v>2.8000000000000001E-2</v>
      </c>
      <c r="I23" s="20" t="s">
        <v>55</v>
      </c>
      <c r="J23" s="21" t="s">
        <v>56</v>
      </c>
      <c r="K23" s="43">
        <v>18</v>
      </c>
      <c r="L23" s="7"/>
    </row>
    <row r="24" spans="1:13" x14ac:dyDescent="0.2">
      <c r="A24" s="66" t="s">
        <v>259</v>
      </c>
      <c r="B24" s="67" t="s">
        <v>315</v>
      </c>
      <c r="C24" s="68" t="s">
        <v>320</v>
      </c>
      <c r="D24" s="68" t="s">
        <v>321</v>
      </c>
      <c r="E24" s="71" t="s">
        <v>60</v>
      </c>
      <c r="F24" s="70">
        <f t="shared" si="0"/>
        <v>0.88400000000000001</v>
      </c>
      <c r="G24" s="69">
        <v>1</v>
      </c>
      <c r="H24" s="72">
        <v>0.88400000000000001</v>
      </c>
      <c r="I24" s="20" t="s">
        <v>55</v>
      </c>
      <c r="J24" s="21" t="s">
        <v>56</v>
      </c>
      <c r="K24" s="43">
        <v>6</v>
      </c>
      <c r="L24" s="7"/>
    </row>
    <row r="25" spans="1:13" x14ac:dyDescent="0.2">
      <c r="A25" s="66" t="s">
        <v>259</v>
      </c>
      <c r="B25" s="67" t="s">
        <v>322</v>
      </c>
      <c r="C25" s="68" t="s">
        <v>323</v>
      </c>
      <c r="D25" s="68" t="s">
        <v>324</v>
      </c>
      <c r="E25" s="71" t="s">
        <v>63</v>
      </c>
      <c r="F25" s="70">
        <f t="shared" si="0"/>
        <v>8.5000000000000006E-3</v>
      </c>
      <c r="G25" s="69">
        <v>2</v>
      </c>
      <c r="H25" s="72">
        <v>1.7000000000000001E-2</v>
      </c>
      <c r="I25" s="20" t="s">
        <v>55</v>
      </c>
      <c r="J25" s="21" t="s">
        <v>56</v>
      </c>
      <c r="K25" s="43">
        <v>36</v>
      </c>
      <c r="L25" s="7"/>
    </row>
    <row r="26" spans="1:13" x14ac:dyDescent="0.2">
      <c r="A26" s="66" t="s">
        <v>259</v>
      </c>
      <c r="B26" s="67" t="s">
        <v>329</v>
      </c>
      <c r="C26" s="68" t="s">
        <v>330</v>
      </c>
      <c r="D26" s="68" t="s">
        <v>331</v>
      </c>
      <c r="E26" s="71" t="s">
        <v>69</v>
      </c>
      <c r="F26" s="70">
        <f t="shared" si="0"/>
        <v>0.49030000000000001</v>
      </c>
      <c r="G26" s="69">
        <v>1</v>
      </c>
      <c r="H26" s="72">
        <v>0.49030000000000001</v>
      </c>
      <c r="I26" s="20" t="s">
        <v>66</v>
      </c>
      <c r="J26" s="21" t="s">
        <v>67</v>
      </c>
      <c r="K26" s="43">
        <v>11</v>
      </c>
      <c r="L26" s="7"/>
    </row>
    <row r="27" spans="1:13" x14ac:dyDescent="0.2">
      <c r="A27" s="73" t="s">
        <v>338</v>
      </c>
      <c r="B27" s="74" t="s">
        <v>339</v>
      </c>
      <c r="C27" s="75" t="s">
        <v>340</v>
      </c>
      <c r="D27" s="75" t="s">
        <v>341</v>
      </c>
      <c r="E27" s="71" t="s">
        <v>76</v>
      </c>
      <c r="F27" s="76">
        <f t="shared" si="0"/>
        <v>8.2500000000000004E-3</v>
      </c>
      <c r="G27" s="69">
        <v>2</v>
      </c>
      <c r="H27" s="72">
        <f>M27*H2</f>
        <v>1.6500000000000001E-2</v>
      </c>
      <c r="I27" s="20" t="s">
        <v>77</v>
      </c>
      <c r="J27" s="21" t="s">
        <v>78</v>
      </c>
      <c r="K27" s="47">
        <v>26</v>
      </c>
      <c r="L27" s="7"/>
      <c r="M27" s="69">
        <v>1.5</v>
      </c>
    </row>
    <row r="28" spans="1:13" x14ac:dyDescent="0.2">
      <c r="A28" s="73" t="s">
        <v>338</v>
      </c>
      <c r="B28" s="74" t="s">
        <v>339</v>
      </c>
      <c r="C28" s="75" t="s">
        <v>342</v>
      </c>
      <c r="D28" s="75" t="s">
        <v>343</v>
      </c>
      <c r="E28" s="71" t="s">
        <v>79</v>
      </c>
      <c r="F28" s="76">
        <f t="shared" si="0"/>
        <v>2.325E-2</v>
      </c>
      <c r="G28" s="69">
        <v>2</v>
      </c>
      <c r="H28" s="72">
        <f>M28*H3</f>
        <v>4.65E-2</v>
      </c>
      <c r="I28" s="20" t="s">
        <v>77</v>
      </c>
      <c r="J28" s="21" t="s">
        <v>78</v>
      </c>
      <c r="K28" s="47">
        <v>0</v>
      </c>
      <c r="L28" s="7"/>
      <c r="M28" s="69">
        <v>1.5</v>
      </c>
    </row>
    <row r="29" spans="1:13" x14ac:dyDescent="0.2">
      <c r="A29" s="73" t="s">
        <v>338</v>
      </c>
      <c r="B29" s="74" t="s">
        <v>339</v>
      </c>
      <c r="C29" s="75" t="s">
        <v>344</v>
      </c>
      <c r="D29" s="75" t="s">
        <v>345</v>
      </c>
      <c r="E29" s="71" t="s">
        <v>80</v>
      </c>
      <c r="F29" s="76">
        <f t="shared" si="0"/>
        <v>6.3E-2</v>
      </c>
      <c r="G29" s="69">
        <v>2</v>
      </c>
      <c r="H29" s="72">
        <f>M29*H4</f>
        <v>0.126</v>
      </c>
      <c r="I29" s="20" t="s">
        <v>77</v>
      </c>
      <c r="J29" s="21" t="s">
        <v>78</v>
      </c>
      <c r="K29" s="47">
        <v>0</v>
      </c>
      <c r="L29" s="7"/>
      <c r="M29" s="69">
        <v>1.5</v>
      </c>
    </row>
    <row r="30" spans="1:13" x14ac:dyDescent="0.2">
      <c r="A30" s="73" t="s">
        <v>338</v>
      </c>
      <c r="B30" s="74" t="s">
        <v>339</v>
      </c>
      <c r="C30" s="75" t="s">
        <v>346</v>
      </c>
      <c r="D30" s="75" t="s">
        <v>347</v>
      </c>
      <c r="E30" s="71" t="s">
        <v>81</v>
      </c>
      <c r="F30" s="76">
        <f t="shared" si="0"/>
        <v>8.2500000000000004E-3</v>
      </c>
      <c r="G30" s="69">
        <v>2</v>
      </c>
      <c r="H30" s="72">
        <f>M30*H5</f>
        <v>1.6500000000000001E-2</v>
      </c>
      <c r="I30" s="20" t="s">
        <v>77</v>
      </c>
      <c r="J30" s="21" t="s">
        <v>78</v>
      </c>
      <c r="K30" s="47">
        <v>40</v>
      </c>
      <c r="L30" s="7"/>
      <c r="M30" s="69">
        <v>1.5</v>
      </c>
    </row>
    <row r="31" spans="1:13" x14ac:dyDescent="0.2">
      <c r="A31" s="73" t="s">
        <v>338</v>
      </c>
      <c r="B31" s="74" t="s">
        <v>339</v>
      </c>
      <c r="C31" s="75" t="s">
        <v>348</v>
      </c>
      <c r="D31" s="75" t="s">
        <v>349</v>
      </c>
      <c r="E31" s="71" t="s">
        <v>82</v>
      </c>
      <c r="F31" s="76">
        <f t="shared" si="0"/>
        <v>0.16350000000000001</v>
      </c>
      <c r="G31" s="69">
        <v>2</v>
      </c>
      <c r="H31" s="72">
        <f>M31*H6</f>
        <v>0.32700000000000001</v>
      </c>
      <c r="I31" s="20" t="s">
        <v>77</v>
      </c>
      <c r="J31" s="21" t="s">
        <v>78</v>
      </c>
      <c r="K31" s="47">
        <v>40</v>
      </c>
      <c r="L31" s="7"/>
      <c r="M31" s="69">
        <v>1.5</v>
      </c>
    </row>
    <row r="32" spans="1:13" x14ac:dyDescent="0.2">
      <c r="A32" s="73" t="s">
        <v>338</v>
      </c>
      <c r="B32" s="74" t="s">
        <v>339</v>
      </c>
      <c r="C32" s="75" t="s">
        <v>350</v>
      </c>
      <c r="D32" s="75" t="s">
        <v>351</v>
      </c>
      <c r="E32" s="71" t="s">
        <v>83</v>
      </c>
      <c r="F32" s="76">
        <f t="shared" si="0"/>
        <v>0.62324999999999997</v>
      </c>
      <c r="G32" s="69">
        <v>2</v>
      </c>
      <c r="H32" s="72">
        <f>M32*H7</f>
        <v>1.2464999999999999</v>
      </c>
      <c r="I32" s="20" t="s">
        <v>77</v>
      </c>
      <c r="J32" s="21" t="s">
        <v>78</v>
      </c>
      <c r="K32" s="47">
        <v>0</v>
      </c>
      <c r="L32" s="7"/>
      <c r="M32" s="69">
        <v>1.5</v>
      </c>
    </row>
    <row r="33" spans="1:13" x14ac:dyDescent="0.2">
      <c r="A33" s="73" t="s">
        <v>338</v>
      </c>
      <c r="B33" s="74" t="s">
        <v>339</v>
      </c>
      <c r="C33" s="75" t="s">
        <v>352</v>
      </c>
      <c r="D33" s="75" t="s">
        <v>353</v>
      </c>
      <c r="E33" s="71" t="s">
        <v>84</v>
      </c>
      <c r="F33" s="76">
        <f t="shared" si="0"/>
        <v>1.32E-2</v>
      </c>
      <c r="G33" s="69">
        <v>1</v>
      </c>
      <c r="H33" s="72">
        <f>M33*H8</f>
        <v>1.32E-2</v>
      </c>
      <c r="I33" s="20" t="s">
        <v>77</v>
      </c>
      <c r="J33" s="21" t="s">
        <v>78</v>
      </c>
      <c r="K33" s="47">
        <v>0</v>
      </c>
      <c r="L33" s="7"/>
      <c r="M33" s="69">
        <v>1.5</v>
      </c>
    </row>
    <row r="34" spans="1:13" x14ac:dyDescent="0.2">
      <c r="A34" s="73" t="s">
        <v>338</v>
      </c>
      <c r="B34" s="74" t="s">
        <v>339</v>
      </c>
      <c r="C34" s="75" t="s">
        <v>354</v>
      </c>
      <c r="D34" s="75" t="s">
        <v>355</v>
      </c>
      <c r="E34" s="71" t="s">
        <v>85</v>
      </c>
      <c r="F34" s="76">
        <f t="shared" si="0"/>
        <v>0.2616</v>
      </c>
      <c r="G34" s="69">
        <v>1</v>
      </c>
      <c r="H34" s="72">
        <f>M34*H9</f>
        <v>0.2616</v>
      </c>
      <c r="I34" s="20" t="s">
        <v>77</v>
      </c>
      <c r="J34" s="21" t="s">
        <v>78</v>
      </c>
      <c r="K34" s="47">
        <v>0</v>
      </c>
      <c r="L34" s="7"/>
      <c r="M34" s="69">
        <v>1.5</v>
      </c>
    </row>
    <row r="35" spans="1:13" x14ac:dyDescent="0.2">
      <c r="A35" s="73" t="s">
        <v>338</v>
      </c>
      <c r="B35" s="74" t="s">
        <v>339</v>
      </c>
      <c r="C35" s="75" t="s">
        <v>356</v>
      </c>
      <c r="D35" s="75" t="s">
        <v>357</v>
      </c>
      <c r="E35" s="71" t="s">
        <v>86</v>
      </c>
      <c r="F35" s="76">
        <f t="shared" si="0"/>
        <v>0.99719999999999986</v>
      </c>
      <c r="G35" s="69">
        <v>1</v>
      </c>
      <c r="H35" s="72">
        <f>M35*H10</f>
        <v>0.99719999999999986</v>
      </c>
      <c r="I35" s="20" t="s">
        <v>77</v>
      </c>
      <c r="J35" s="21" t="s">
        <v>78</v>
      </c>
      <c r="K35" s="47">
        <v>0</v>
      </c>
      <c r="L35" s="7"/>
      <c r="M35" s="69">
        <v>1.5</v>
      </c>
    </row>
    <row r="36" spans="1:13" x14ac:dyDescent="0.2">
      <c r="A36" s="73" t="s">
        <v>338</v>
      </c>
      <c r="B36" s="74" t="s">
        <v>339</v>
      </c>
      <c r="C36" s="75" t="s">
        <v>358</v>
      </c>
      <c r="D36" s="75" t="s">
        <v>359</v>
      </c>
      <c r="E36" s="71" t="s">
        <v>87</v>
      </c>
      <c r="F36" s="76">
        <f t="shared" si="0"/>
        <v>8.2500000000000004E-3</v>
      </c>
      <c r="G36" s="69">
        <v>2</v>
      </c>
      <c r="H36" s="72">
        <f>M36*H11</f>
        <v>1.6500000000000001E-2</v>
      </c>
      <c r="I36" s="20" t="s">
        <v>77</v>
      </c>
      <c r="J36" s="21" t="s">
        <v>78</v>
      </c>
      <c r="K36" s="47">
        <v>30</v>
      </c>
      <c r="L36" s="7"/>
      <c r="M36" s="69">
        <v>1.5</v>
      </c>
    </row>
    <row r="37" spans="1:13" x14ac:dyDescent="0.2">
      <c r="A37" s="73" t="s">
        <v>338</v>
      </c>
      <c r="B37" s="74" t="s">
        <v>339</v>
      </c>
      <c r="C37" s="75" t="s">
        <v>360</v>
      </c>
      <c r="D37" s="75" t="s">
        <v>361</v>
      </c>
      <c r="E37" s="71" t="s">
        <v>88</v>
      </c>
      <c r="F37" s="76">
        <f t="shared" si="0"/>
        <v>0.16350000000000001</v>
      </c>
      <c r="G37" s="69">
        <v>2</v>
      </c>
      <c r="H37" s="72">
        <f>M37*H12</f>
        <v>0.32700000000000001</v>
      </c>
      <c r="I37" s="20" t="s">
        <v>77</v>
      </c>
      <c r="J37" s="21" t="s">
        <v>78</v>
      </c>
      <c r="K37" s="47">
        <v>30</v>
      </c>
      <c r="L37" s="7"/>
      <c r="M37" s="69">
        <v>1.5</v>
      </c>
    </row>
    <row r="38" spans="1:13" x14ac:dyDescent="0.2">
      <c r="A38" s="73" t="s">
        <v>338</v>
      </c>
      <c r="B38" s="74" t="s">
        <v>339</v>
      </c>
      <c r="C38" s="75" t="s">
        <v>362</v>
      </c>
      <c r="D38" s="75" t="s">
        <v>363</v>
      </c>
      <c r="E38" s="71" t="s">
        <v>89</v>
      </c>
      <c r="F38" s="76">
        <f t="shared" si="0"/>
        <v>0.62324999999999997</v>
      </c>
      <c r="G38" s="69">
        <v>2</v>
      </c>
      <c r="H38" s="72">
        <f>M38*H13</f>
        <v>1.2464999999999999</v>
      </c>
      <c r="I38" s="20" t="s">
        <v>77</v>
      </c>
      <c r="J38" s="21" t="s">
        <v>78</v>
      </c>
      <c r="K38" s="47">
        <v>20</v>
      </c>
      <c r="L38" s="7"/>
      <c r="M38" s="69">
        <v>1.5</v>
      </c>
    </row>
    <row r="39" spans="1:13" x14ac:dyDescent="0.2">
      <c r="A39" s="73" t="s">
        <v>338</v>
      </c>
      <c r="B39" s="74" t="s">
        <v>339</v>
      </c>
      <c r="C39" s="75" t="s">
        <v>364</v>
      </c>
      <c r="D39" s="75" t="s">
        <v>365</v>
      </c>
      <c r="E39" s="71" t="s">
        <v>90</v>
      </c>
      <c r="F39" s="76">
        <f t="shared" si="0"/>
        <v>8.2500000000000004E-3</v>
      </c>
      <c r="G39" s="69">
        <v>2</v>
      </c>
      <c r="H39" s="72">
        <f>M39*H14</f>
        <v>1.6500000000000001E-2</v>
      </c>
      <c r="I39" s="20" t="s">
        <v>77</v>
      </c>
      <c r="J39" s="21" t="s">
        <v>78</v>
      </c>
      <c r="K39" s="47">
        <v>80</v>
      </c>
      <c r="L39" s="7"/>
      <c r="M39" s="69">
        <v>1.5</v>
      </c>
    </row>
    <row r="40" spans="1:13" x14ac:dyDescent="0.2">
      <c r="A40" s="73" t="s">
        <v>338</v>
      </c>
      <c r="B40" s="74" t="s">
        <v>339</v>
      </c>
      <c r="C40" s="75" t="s">
        <v>366</v>
      </c>
      <c r="D40" s="75" t="s">
        <v>367</v>
      </c>
      <c r="E40" s="71" t="s">
        <v>91</v>
      </c>
      <c r="F40" s="76">
        <f t="shared" si="0"/>
        <v>2.325E-2</v>
      </c>
      <c r="G40" s="69">
        <v>2</v>
      </c>
      <c r="H40" s="72">
        <f>M40*H15</f>
        <v>4.65E-2</v>
      </c>
      <c r="I40" s="20" t="s">
        <v>77</v>
      </c>
      <c r="J40" s="21" t="s">
        <v>78</v>
      </c>
      <c r="K40" s="47">
        <v>0</v>
      </c>
      <c r="L40" s="7"/>
      <c r="M40" s="69">
        <v>1.5</v>
      </c>
    </row>
    <row r="41" spans="1:13" x14ac:dyDescent="0.2">
      <c r="A41" s="73" t="s">
        <v>338</v>
      </c>
      <c r="B41" s="74" t="s">
        <v>339</v>
      </c>
      <c r="C41" s="75" t="s">
        <v>368</v>
      </c>
      <c r="D41" s="75" t="s">
        <v>369</v>
      </c>
      <c r="E41" s="71" t="s">
        <v>92</v>
      </c>
      <c r="F41" s="76">
        <f t="shared" si="0"/>
        <v>6.3E-2</v>
      </c>
      <c r="G41" s="69">
        <v>2</v>
      </c>
      <c r="H41" s="72">
        <f>M41*H16</f>
        <v>0.126</v>
      </c>
      <c r="I41" s="20" t="s">
        <v>77</v>
      </c>
      <c r="J41" s="21" t="s">
        <v>78</v>
      </c>
      <c r="K41" s="47">
        <v>0</v>
      </c>
      <c r="L41" s="7"/>
      <c r="M41" s="69">
        <v>1.5</v>
      </c>
    </row>
    <row r="42" spans="1:13" x14ac:dyDescent="0.2">
      <c r="A42" s="66" t="s">
        <v>338</v>
      </c>
      <c r="B42" s="67" t="s">
        <v>70</v>
      </c>
      <c r="C42" s="68" t="s">
        <v>400</v>
      </c>
      <c r="D42" s="68" t="s">
        <v>402</v>
      </c>
      <c r="E42" s="71" t="s">
        <v>108</v>
      </c>
      <c r="F42" s="70">
        <f t="shared" ref="F42:F43" si="1">H42/G42</f>
        <v>0.49030000000000001</v>
      </c>
      <c r="G42" s="69">
        <v>1</v>
      </c>
      <c r="H42" s="72">
        <v>0.49030000000000001</v>
      </c>
      <c r="I42" s="20" t="s">
        <v>109</v>
      </c>
      <c r="J42" s="21" t="s">
        <v>67</v>
      </c>
      <c r="K42" s="73" t="s">
        <v>401</v>
      </c>
      <c r="L42" s="7"/>
    </row>
    <row r="43" spans="1:13" x14ac:dyDescent="0.2">
      <c r="A43" s="66" t="s">
        <v>338</v>
      </c>
      <c r="B43" s="67" t="s">
        <v>111</v>
      </c>
      <c r="C43" s="68" t="s">
        <v>403</v>
      </c>
      <c r="D43" s="68" t="s">
        <v>405</v>
      </c>
      <c r="E43" s="71" t="s">
        <v>110</v>
      </c>
      <c r="F43" s="70">
        <f t="shared" si="1"/>
        <v>1.2E-2</v>
      </c>
      <c r="G43" s="69">
        <v>1</v>
      </c>
      <c r="H43" s="72">
        <v>1.2E-2</v>
      </c>
      <c r="I43" s="20" t="s">
        <v>109</v>
      </c>
      <c r="J43" s="21" t="s">
        <v>67</v>
      </c>
      <c r="K43" s="73" t="s">
        <v>404</v>
      </c>
      <c r="L43" s="7"/>
    </row>
    <row r="44" spans="1:13" x14ac:dyDescent="0.2">
      <c r="A44" s="77"/>
      <c r="B44" s="77"/>
      <c r="C44" s="77"/>
      <c r="D44" s="77"/>
      <c r="K44" s="77"/>
    </row>
    <row r="45" spans="1:13" x14ac:dyDescent="0.2">
      <c r="A45" s="78"/>
      <c r="B45" s="79"/>
      <c r="C45" s="80"/>
      <c r="D45" s="81"/>
      <c r="K45" s="81"/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3C77-211C-B840-8303-F50BC0521F2C}">
  <sheetPr codeName="Sheet7"/>
  <dimension ref="A1:L35"/>
  <sheetViews>
    <sheetView zoomScaleNormal="7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3" sqref="C1:D33"/>
    </sheetView>
  </sheetViews>
  <sheetFormatPr baseColWidth="10" defaultColWidth="11" defaultRowHeight="16" x14ac:dyDescent="0.2"/>
  <cols>
    <col min="1" max="1" width="23" style="57" bestFit="1" customWidth="1"/>
    <col min="2" max="2" width="31.6640625" style="57" bestFit="1" customWidth="1"/>
    <col min="3" max="3" width="101.1640625" style="57" customWidth="1"/>
    <col min="4" max="4" width="18" style="57" bestFit="1" customWidth="1"/>
    <col min="5" max="5" width="19.5" style="69" customWidth="1"/>
    <col min="6" max="6" width="10.33203125" style="69" customWidth="1"/>
    <col min="7" max="7" width="22.5" style="72" customWidth="1"/>
    <col min="8" max="8" width="19.83203125" style="69" bestFit="1" customWidth="1"/>
    <col min="9" max="9" width="80.5" style="69" bestFit="1" customWidth="1"/>
    <col min="10" max="10" width="50.33203125" style="69" bestFit="1" customWidth="1"/>
    <col min="11" max="11" width="14" style="57" bestFit="1" customWidth="1"/>
    <col min="12" max="12" width="50.33203125" style="69" customWidth="1"/>
    <col min="13" max="16384" width="11" style="69"/>
  </cols>
  <sheetData>
    <row r="1" spans="1:12" s="60" customFormat="1" x14ac:dyDescent="0.2">
      <c r="A1" s="58" t="s">
        <v>254</v>
      </c>
      <c r="B1" s="58" t="s">
        <v>255</v>
      </c>
      <c r="C1" s="58" t="s">
        <v>258</v>
      </c>
      <c r="D1" s="59" t="s">
        <v>256</v>
      </c>
      <c r="E1" s="61" t="s">
        <v>6</v>
      </c>
      <c r="F1" s="64" t="s">
        <v>3</v>
      </c>
      <c r="G1" s="65" t="s">
        <v>7</v>
      </c>
      <c r="H1" s="63" t="s">
        <v>8</v>
      </c>
      <c r="I1" s="16" t="s">
        <v>9</v>
      </c>
      <c r="J1" s="17" t="s">
        <v>10</v>
      </c>
      <c r="K1" s="58" t="s">
        <v>257</v>
      </c>
      <c r="L1" s="30"/>
    </row>
    <row r="2" spans="1:12" x14ac:dyDescent="0.2">
      <c r="A2" s="66" t="s">
        <v>259</v>
      </c>
      <c r="B2" s="67" t="s">
        <v>273</v>
      </c>
      <c r="C2" s="68" t="s">
        <v>281</v>
      </c>
      <c r="D2" s="68" t="s">
        <v>280</v>
      </c>
      <c r="E2" s="70">
        <f t="shared" ref="E2:E20" si="0">G2/F2</f>
        <v>2.2499999999999999E-2</v>
      </c>
      <c r="F2" s="69">
        <v>2</v>
      </c>
      <c r="G2" s="72">
        <v>4.4999999999999998E-2</v>
      </c>
      <c r="H2" s="71" t="s">
        <v>29</v>
      </c>
      <c r="I2" s="20" t="s">
        <v>30</v>
      </c>
      <c r="J2" s="21" t="s">
        <v>23</v>
      </c>
      <c r="K2" s="43">
        <v>20</v>
      </c>
      <c r="L2" s="7"/>
    </row>
    <row r="3" spans="1:12" x14ac:dyDescent="0.2">
      <c r="A3" s="66" t="s">
        <v>259</v>
      </c>
      <c r="B3" s="67" t="s">
        <v>273</v>
      </c>
      <c r="C3" s="68" t="s">
        <v>283</v>
      </c>
      <c r="D3" s="68" t="s">
        <v>282</v>
      </c>
      <c r="E3" s="70">
        <f t="shared" si="0"/>
        <v>3.3750000000000002E-2</v>
      </c>
      <c r="F3" s="69">
        <v>2</v>
      </c>
      <c r="G3" s="72">
        <v>6.7500000000000004E-2</v>
      </c>
      <c r="H3" s="71" t="s">
        <v>32</v>
      </c>
      <c r="I3" s="20" t="s">
        <v>30</v>
      </c>
      <c r="J3" s="21" t="s">
        <v>23</v>
      </c>
      <c r="K3" s="43">
        <v>35</v>
      </c>
      <c r="L3" s="7"/>
    </row>
    <row r="4" spans="1:12" x14ac:dyDescent="0.2">
      <c r="A4" s="66" t="s">
        <v>259</v>
      </c>
      <c r="B4" s="67" t="s">
        <v>273</v>
      </c>
      <c r="C4" s="68" t="s">
        <v>285</v>
      </c>
      <c r="D4" s="68" t="s">
        <v>284</v>
      </c>
      <c r="E4" s="70">
        <f t="shared" si="0"/>
        <v>4.4999999999999998E-2</v>
      </c>
      <c r="F4" s="69">
        <v>2</v>
      </c>
      <c r="G4" s="72">
        <v>0.09</v>
      </c>
      <c r="H4" s="71" t="s">
        <v>34</v>
      </c>
      <c r="I4" s="20" t="s">
        <v>30</v>
      </c>
      <c r="J4" s="21" t="s">
        <v>23</v>
      </c>
      <c r="K4" s="43">
        <v>25</v>
      </c>
      <c r="L4" s="7"/>
    </row>
    <row r="5" spans="1:12" x14ac:dyDescent="0.2">
      <c r="A5" s="66" t="s">
        <v>259</v>
      </c>
      <c r="B5" s="67" t="s">
        <v>273</v>
      </c>
      <c r="C5" s="68" t="s">
        <v>287</v>
      </c>
      <c r="D5" s="68" t="s">
        <v>286</v>
      </c>
      <c r="E5" s="70">
        <f t="shared" si="0"/>
        <v>3.5999999999999997E-2</v>
      </c>
      <c r="F5" s="69">
        <v>1</v>
      </c>
      <c r="G5" s="72">
        <v>3.5999999999999997E-2</v>
      </c>
      <c r="H5" s="71" t="s">
        <v>36</v>
      </c>
      <c r="I5" s="20" t="s">
        <v>22</v>
      </c>
      <c r="J5" s="21" t="s">
        <v>23</v>
      </c>
      <c r="K5" s="43">
        <v>10</v>
      </c>
      <c r="L5" s="7"/>
    </row>
    <row r="6" spans="1:12" x14ac:dyDescent="0.2">
      <c r="A6" s="66" t="s">
        <v>259</v>
      </c>
      <c r="B6" s="67" t="s">
        <v>273</v>
      </c>
      <c r="C6" s="68" t="s">
        <v>289</v>
      </c>
      <c r="D6" s="68" t="s">
        <v>288</v>
      </c>
      <c r="E6" s="70">
        <f t="shared" si="0"/>
        <v>5.3999999999999999E-2</v>
      </c>
      <c r="F6" s="69">
        <v>1</v>
      </c>
      <c r="G6" s="72">
        <v>5.3999999999999999E-2</v>
      </c>
      <c r="H6" s="71" t="s">
        <v>38</v>
      </c>
      <c r="I6" s="20" t="s">
        <v>22</v>
      </c>
      <c r="J6" s="21" t="s">
        <v>23</v>
      </c>
      <c r="K6" s="43">
        <v>3</v>
      </c>
      <c r="L6" s="7"/>
    </row>
    <row r="7" spans="1:12" x14ac:dyDescent="0.2">
      <c r="A7" s="66" t="s">
        <v>259</v>
      </c>
      <c r="B7" s="67" t="s">
        <v>273</v>
      </c>
      <c r="C7" s="68" t="s">
        <v>291</v>
      </c>
      <c r="D7" s="68" t="s">
        <v>290</v>
      </c>
      <c r="E7" s="70">
        <f t="shared" si="0"/>
        <v>7.1999999999999995E-2</v>
      </c>
      <c r="F7" s="69">
        <v>1</v>
      </c>
      <c r="G7" s="72">
        <v>7.1999999999999995E-2</v>
      </c>
      <c r="H7" s="71" t="s">
        <v>40</v>
      </c>
      <c r="I7" s="20" t="s">
        <v>22</v>
      </c>
      <c r="J7" s="21" t="s">
        <v>23</v>
      </c>
      <c r="K7" s="43">
        <v>1</v>
      </c>
      <c r="L7" s="7"/>
    </row>
    <row r="8" spans="1:12" x14ac:dyDescent="0.2">
      <c r="A8" s="66" t="s">
        <v>259</v>
      </c>
      <c r="B8" s="67" t="s">
        <v>273</v>
      </c>
      <c r="C8" s="68" t="s">
        <v>293</v>
      </c>
      <c r="D8" s="68" t="s">
        <v>292</v>
      </c>
      <c r="E8" s="70">
        <f t="shared" si="0"/>
        <v>2.2499999999999999E-2</v>
      </c>
      <c r="F8" s="69">
        <v>2</v>
      </c>
      <c r="G8" s="72">
        <v>4.4999999999999998E-2</v>
      </c>
      <c r="H8" s="71" t="s">
        <v>29</v>
      </c>
      <c r="I8" s="20" t="s">
        <v>22</v>
      </c>
      <c r="J8" s="21" t="s">
        <v>23</v>
      </c>
      <c r="K8" s="43">
        <v>20</v>
      </c>
      <c r="L8" s="7"/>
    </row>
    <row r="9" spans="1:12" x14ac:dyDescent="0.2">
      <c r="A9" s="66" t="s">
        <v>259</v>
      </c>
      <c r="B9" s="67" t="s">
        <v>273</v>
      </c>
      <c r="C9" s="68" t="s">
        <v>295</v>
      </c>
      <c r="D9" s="68" t="s">
        <v>294</v>
      </c>
      <c r="E9" s="70">
        <f t="shared" si="0"/>
        <v>3.3750000000000002E-2</v>
      </c>
      <c r="F9" s="69">
        <v>2</v>
      </c>
      <c r="G9" s="72">
        <v>6.7500000000000004E-2</v>
      </c>
      <c r="H9" s="71" t="s">
        <v>32</v>
      </c>
      <c r="I9" s="20" t="s">
        <v>22</v>
      </c>
      <c r="J9" s="21" t="s">
        <v>23</v>
      </c>
      <c r="K9" s="43">
        <v>31</v>
      </c>
      <c r="L9" s="7"/>
    </row>
    <row r="10" spans="1:12" x14ac:dyDescent="0.2">
      <c r="A10" s="66" t="s">
        <v>259</v>
      </c>
      <c r="B10" s="67" t="s">
        <v>273</v>
      </c>
      <c r="C10" s="68" t="s">
        <v>297</v>
      </c>
      <c r="D10" s="68" t="s">
        <v>296</v>
      </c>
      <c r="E10" s="70">
        <f t="shared" si="0"/>
        <v>4.4999999999999998E-2</v>
      </c>
      <c r="F10" s="69">
        <v>2</v>
      </c>
      <c r="G10" s="72">
        <v>0.09</v>
      </c>
      <c r="H10" s="71" t="s">
        <v>34</v>
      </c>
      <c r="I10" s="20" t="s">
        <v>22</v>
      </c>
      <c r="J10" s="21" t="s">
        <v>23</v>
      </c>
      <c r="K10" s="43">
        <v>25</v>
      </c>
      <c r="L10" s="7"/>
    </row>
    <row r="11" spans="1:12" x14ac:dyDescent="0.2">
      <c r="A11" s="66" t="s">
        <v>259</v>
      </c>
      <c r="B11" s="67" t="s">
        <v>304</v>
      </c>
      <c r="C11" s="68" t="s">
        <v>308</v>
      </c>
      <c r="D11" s="68" t="s">
        <v>307</v>
      </c>
      <c r="E11" s="70">
        <f t="shared" si="0"/>
        <v>1.125E-2</v>
      </c>
      <c r="F11" s="69">
        <v>4</v>
      </c>
      <c r="G11" s="72">
        <v>4.4999999999999998E-2</v>
      </c>
      <c r="H11" s="71" t="s">
        <v>29</v>
      </c>
      <c r="I11" s="20" t="s">
        <v>22</v>
      </c>
      <c r="J11" s="21" t="s">
        <v>23</v>
      </c>
      <c r="K11" s="43">
        <v>130</v>
      </c>
      <c r="L11" s="7"/>
    </row>
    <row r="12" spans="1:12" x14ac:dyDescent="0.2">
      <c r="A12" s="66" t="s">
        <v>259</v>
      </c>
      <c r="B12" s="67" t="s">
        <v>304</v>
      </c>
      <c r="C12" s="68" t="s">
        <v>310</v>
      </c>
      <c r="D12" s="68" t="s">
        <v>309</v>
      </c>
      <c r="E12" s="70">
        <f t="shared" si="0"/>
        <v>1.7999999999999999E-2</v>
      </c>
      <c r="F12" s="69">
        <v>2</v>
      </c>
      <c r="G12" s="72">
        <v>3.5999999999999997E-2</v>
      </c>
      <c r="H12" s="71" t="s">
        <v>36</v>
      </c>
      <c r="I12" s="20" t="s">
        <v>22</v>
      </c>
      <c r="J12" s="21" t="s">
        <v>23</v>
      </c>
      <c r="K12" s="43">
        <v>50</v>
      </c>
      <c r="L12" s="7"/>
    </row>
    <row r="13" spans="1:12" x14ac:dyDescent="0.2">
      <c r="A13" s="66" t="s">
        <v>259</v>
      </c>
      <c r="B13" s="67" t="s">
        <v>304</v>
      </c>
      <c r="C13" s="68" t="s">
        <v>312</v>
      </c>
      <c r="D13" s="68" t="s">
        <v>311</v>
      </c>
      <c r="E13" s="70">
        <f t="shared" si="0"/>
        <v>1.125E-2</v>
      </c>
      <c r="F13" s="69">
        <v>4</v>
      </c>
      <c r="G13" s="72">
        <v>4.4999999999999998E-2</v>
      </c>
      <c r="H13" s="71" t="s">
        <v>29</v>
      </c>
      <c r="I13" s="20" t="s">
        <v>22</v>
      </c>
      <c r="J13" s="21" t="s">
        <v>23</v>
      </c>
      <c r="K13" s="43">
        <v>120</v>
      </c>
      <c r="L13" s="7"/>
    </row>
    <row r="14" spans="1:12" x14ac:dyDescent="0.2">
      <c r="A14" s="66" t="s">
        <v>259</v>
      </c>
      <c r="B14" s="67" t="s">
        <v>315</v>
      </c>
      <c r="C14" s="68" t="s">
        <v>317</v>
      </c>
      <c r="D14" s="68" t="s">
        <v>316</v>
      </c>
      <c r="E14" s="70">
        <f t="shared" si="0"/>
        <v>2.2499999999999999E-2</v>
      </c>
      <c r="F14" s="69">
        <v>1</v>
      </c>
      <c r="G14" s="72">
        <v>2.2499999999999999E-2</v>
      </c>
      <c r="H14" s="71" t="s">
        <v>54</v>
      </c>
      <c r="I14" s="20" t="s">
        <v>55</v>
      </c>
      <c r="J14" s="21" t="s">
        <v>56</v>
      </c>
      <c r="K14" s="43">
        <v>48</v>
      </c>
      <c r="L14" s="7"/>
    </row>
    <row r="15" spans="1:12" x14ac:dyDescent="0.2">
      <c r="A15" s="66" t="s">
        <v>259</v>
      </c>
      <c r="B15" s="67" t="s">
        <v>315</v>
      </c>
      <c r="C15" s="68" t="s">
        <v>319</v>
      </c>
      <c r="D15" s="68" t="s">
        <v>318</v>
      </c>
      <c r="E15" s="70">
        <f t="shared" si="0"/>
        <v>0.22500000000000001</v>
      </c>
      <c r="F15" s="69">
        <v>1</v>
      </c>
      <c r="G15" s="72">
        <v>0.22500000000000001</v>
      </c>
      <c r="H15" s="71" t="s">
        <v>59</v>
      </c>
      <c r="I15" s="20" t="s">
        <v>55</v>
      </c>
      <c r="J15" s="21" t="s">
        <v>56</v>
      </c>
      <c r="K15" s="43">
        <v>18</v>
      </c>
      <c r="L15" s="7"/>
    </row>
    <row r="16" spans="1:12" x14ac:dyDescent="0.2">
      <c r="A16" s="66" t="s">
        <v>259</v>
      </c>
      <c r="B16" s="67" t="s">
        <v>315</v>
      </c>
      <c r="C16" s="68" t="s">
        <v>321</v>
      </c>
      <c r="D16" s="68" t="s">
        <v>320</v>
      </c>
      <c r="E16" s="70">
        <f t="shared" si="0"/>
        <v>0.45</v>
      </c>
      <c r="F16" s="69">
        <v>1</v>
      </c>
      <c r="G16" s="72">
        <v>0.45</v>
      </c>
      <c r="H16" s="71" t="s">
        <v>62</v>
      </c>
      <c r="I16" s="20" t="s">
        <v>55</v>
      </c>
      <c r="J16" s="21" t="s">
        <v>56</v>
      </c>
      <c r="K16" s="43">
        <v>6</v>
      </c>
      <c r="L16" s="7"/>
    </row>
    <row r="17" spans="1:12" x14ac:dyDescent="0.2">
      <c r="A17" s="66" t="s">
        <v>259</v>
      </c>
      <c r="B17" s="67" t="s">
        <v>322</v>
      </c>
      <c r="C17" s="68" t="s">
        <v>324</v>
      </c>
      <c r="D17" s="68" t="s">
        <v>323</v>
      </c>
      <c r="E17" s="70">
        <f t="shared" si="0"/>
        <v>1.125E-2</v>
      </c>
      <c r="F17" s="69">
        <v>2</v>
      </c>
      <c r="G17" s="72">
        <v>2.2499999999999999E-2</v>
      </c>
      <c r="H17" s="71" t="s">
        <v>54</v>
      </c>
      <c r="I17" s="20" t="s">
        <v>55</v>
      </c>
      <c r="J17" s="21" t="s">
        <v>56</v>
      </c>
      <c r="K17" s="43">
        <v>36</v>
      </c>
      <c r="L17" s="7"/>
    </row>
    <row r="18" spans="1:12" x14ac:dyDescent="0.2">
      <c r="A18" s="66" t="s">
        <v>259</v>
      </c>
      <c r="B18" s="67" t="s">
        <v>65</v>
      </c>
      <c r="C18" s="68" t="s">
        <v>326</v>
      </c>
      <c r="D18" s="68" t="s">
        <v>325</v>
      </c>
      <c r="E18" s="70">
        <f t="shared" si="0"/>
        <v>0.315</v>
      </c>
      <c r="F18" s="69">
        <v>1</v>
      </c>
      <c r="G18" s="72">
        <v>0.315</v>
      </c>
      <c r="H18" s="71" t="s">
        <v>65</v>
      </c>
      <c r="I18" s="20" t="s">
        <v>66</v>
      </c>
      <c r="J18" s="21" t="s">
        <v>67</v>
      </c>
      <c r="K18" s="44">
        <v>720380</v>
      </c>
      <c r="L18" s="7"/>
    </row>
    <row r="19" spans="1:12" x14ac:dyDescent="0.2">
      <c r="A19" s="66" t="s">
        <v>259</v>
      </c>
      <c r="B19" s="67" t="s">
        <v>65</v>
      </c>
      <c r="C19" s="68" t="s">
        <v>328</v>
      </c>
      <c r="D19" s="68" t="s">
        <v>327</v>
      </c>
      <c r="E19" s="70">
        <f t="shared" si="0"/>
        <v>0.315</v>
      </c>
      <c r="F19" s="69">
        <v>1</v>
      </c>
      <c r="G19" s="72">
        <v>0.315</v>
      </c>
      <c r="H19" s="71" t="s">
        <v>65</v>
      </c>
      <c r="I19" s="20" t="s">
        <v>66</v>
      </c>
      <c r="J19" s="21" t="s">
        <v>67</v>
      </c>
      <c r="K19" s="43">
        <v>83</v>
      </c>
      <c r="L19" s="7"/>
    </row>
    <row r="20" spans="1:12" x14ac:dyDescent="0.2">
      <c r="A20" s="66" t="s">
        <v>259</v>
      </c>
      <c r="B20" s="67" t="s">
        <v>329</v>
      </c>
      <c r="C20" s="68" t="s">
        <v>331</v>
      </c>
      <c r="D20" s="68" t="s">
        <v>330</v>
      </c>
      <c r="E20" s="70">
        <f t="shared" si="0"/>
        <v>0.6</v>
      </c>
      <c r="F20" s="69">
        <v>1</v>
      </c>
      <c r="G20" s="72">
        <v>0.6</v>
      </c>
      <c r="H20" s="71" t="s">
        <v>71</v>
      </c>
      <c r="I20" s="20" t="s">
        <v>66</v>
      </c>
      <c r="J20" s="21" t="s">
        <v>67</v>
      </c>
      <c r="K20" s="43">
        <v>11</v>
      </c>
      <c r="L20" s="7"/>
    </row>
    <row r="21" spans="1:12" x14ac:dyDescent="0.2">
      <c r="A21" s="66" t="s">
        <v>406</v>
      </c>
      <c r="B21" s="67" t="s">
        <v>407</v>
      </c>
      <c r="C21" s="68" t="s">
        <v>411</v>
      </c>
      <c r="D21" s="68" t="s">
        <v>410</v>
      </c>
      <c r="E21" s="70">
        <f t="shared" ref="E21:E33" si="1">G21/F21</f>
        <v>2.2499999999999999E-2</v>
      </c>
      <c r="F21" s="69">
        <v>1</v>
      </c>
      <c r="G21" s="72">
        <v>2.2499999999999999E-2</v>
      </c>
      <c r="H21" s="71" t="s">
        <v>115</v>
      </c>
      <c r="I21" s="20" t="s">
        <v>116</v>
      </c>
      <c r="J21" s="21" t="s">
        <v>117</v>
      </c>
      <c r="K21" s="43">
        <v>5</v>
      </c>
      <c r="L21" s="7"/>
    </row>
    <row r="22" spans="1:12" x14ac:dyDescent="0.2">
      <c r="A22" s="66" t="s">
        <v>406</v>
      </c>
      <c r="B22" s="67" t="s">
        <v>407</v>
      </c>
      <c r="C22" s="68" t="s">
        <v>413</v>
      </c>
      <c r="D22" s="68" t="s">
        <v>412</v>
      </c>
      <c r="E22" s="70">
        <f t="shared" si="1"/>
        <v>0.22500000000000001</v>
      </c>
      <c r="F22" s="69">
        <v>1</v>
      </c>
      <c r="G22" s="72">
        <v>0.22500000000000001</v>
      </c>
      <c r="H22" s="71" t="s">
        <v>119</v>
      </c>
      <c r="I22" s="20" t="s">
        <v>116</v>
      </c>
      <c r="J22" s="21" t="s">
        <v>117</v>
      </c>
      <c r="K22" s="43">
        <v>1</v>
      </c>
      <c r="L22" s="7"/>
    </row>
    <row r="23" spans="1:12" x14ac:dyDescent="0.2">
      <c r="A23" s="66" t="s">
        <v>406</v>
      </c>
      <c r="B23" s="67" t="s">
        <v>407</v>
      </c>
      <c r="C23" s="68" t="s">
        <v>415</v>
      </c>
      <c r="D23" s="68" t="s">
        <v>414</v>
      </c>
      <c r="E23" s="70">
        <f t="shared" si="1"/>
        <v>0.45</v>
      </c>
      <c r="F23" s="69">
        <v>1</v>
      </c>
      <c r="G23" s="72">
        <v>0.45</v>
      </c>
      <c r="H23" s="71" t="s">
        <v>121</v>
      </c>
      <c r="I23" s="20" t="s">
        <v>116</v>
      </c>
      <c r="J23" s="21" t="s">
        <v>117</v>
      </c>
      <c r="K23" s="43">
        <v>1</v>
      </c>
      <c r="L23" s="7"/>
    </row>
    <row r="24" spans="1:12" x14ac:dyDescent="0.2">
      <c r="A24" s="66" t="s">
        <v>406</v>
      </c>
      <c r="B24" s="67" t="s">
        <v>416</v>
      </c>
      <c r="C24" s="88" t="s">
        <v>454</v>
      </c>
      <c r="D24" s="68" t="s">
        <v>417</v>
      </c>
      <c r="E24" s="70">
        <f t="shared" si="1"/>
        <v>0.1125</v>
      </c>
      <c r="F24" s="69">
        <v>2</v>
      </c>
      <c r="G24" s="72">
        <v>0.22500000000000001</v>
      </c>
      <c r="H24" s="71" t="s">
        <v>123</v>
      </c>
      <c r="I24" s="20" t="s">
        <v>22</v>
      </c>
      <c r="J24" s="21" t="s">
        <v>23</v>
      </c>
      <c r="K24" s="43">
        <v>403</v>
      </c>
      <c r="L24" s="7"/>
    </row>
    <row r="25" spans="1:12" x14ac:dyDescent="0.2">
      <c r="A25" s="66" t="s">
        <v>406</v>
      </c>
      <c r="B25" s="67" t="s">
        <v>416</v>
      </c>
      <c r="C25" s="68" t="s">
        <v>420</v>
      </c>
      <c r="D25" s="68" t="s">
        <v>419</v>
      </c>
      <c r="E25" s="70">
        <f t="shared" si="1"/>
        <v>0.16875000000000001</v>
      </c>
      <c r="F25" s="69">
        <v>2</v>
      </c>
      <c r="G25" s="72">
        <v>0.33750000000000002</v>
      </c>
      <c r="H25" s="71" t="s">
        <v>125</v>
      </c>
      <c r="I25" s="20" t="s">
        <v>22</v>
      </c>
      <c r="J25" s="21" t="s">
        <v>23</v>
      </c>
      <c r="K25" s="43">
        <v>125</v>
      </c>
      <c r="L25" s="7"/>
    </row>
    <row r="26" spans="1:12" x14ac:dyDescent="0.2">
      <c r="A26" s="66" t="s">
        <v>406</v>
      </c>
      <c r="B26" s="67" t="s">
        <v>416</v>
      </c>
      <c r="C26" s="82" t="s">
        <v>422</v>
      </c>
      <c r="D26" s="68" t="s">
        <v>421</v>
      </c>
      <c r="E26" s="70">
        <f t="shared" si="1"/>
        <v>0.22500000000000001</v>
      </c>
      <c r="F26" s="69">
        <v>2</v>
      </c>
      <c r="G26" s="72">
        <v>0.45</v>
      </c>
      <c r="H26" s="71" t="s">
        <v>127</v>
      </c>
      <c r="I26" s="20" t="s">
        <v>22</v>
      </c>
      <c r="J26" s="21" t="s">
        <v>23</v>
      </c>
      <c r="K26" s="43">
        <v>0</v>
      </c>
      <c r="L26" s="7"/>
    </row>
    <row r="27" spans="1:12" x14ac:dyDescent="0.2">
      <c r="A27" s="66" t="s">
        <v>406</v>
      </c>
      <c r="B27" s="67" t="s">
        <v>416</v>
      </c>
      <c r="C27" s="88" t="s">
        <v>453</v>
      </c>
      <c r="D27" s="68" t="s">
        <v>423</v>
      </c>
      <c r="E27" s="70">
        <f t="shared" si="1"/>
        <v>0.1125</v>
      </c>
      <c r="F27" s="69">
        <v>2</v>
      </c>
      <c r="G27" s="72">
        <v>0.22500000000000001</v>
      </c>
      <c r="H27" s="71" t="s">
        <v>123</v>
      </c>
      <c r="I27" s="20" t="s">
        <v>22</v>
      </c>
      <c r="J27" s="21" t="s">
        <v>23</v>
      </c>
      <c r="K27" s="43">
        <v>510</v>
      </c>
      <c r="L27" s="7"/>
    </row>
    <row r="28" spans="1:12" x14ac:dyDescent="0.2">
      <c r="A28" s="66" t="s">
        <v>406</v>
      </c>
      <c r="B28" s="67" t="s">
        <v>416</v>
      </c>
      <c r="C28" s="68" t="s">
        <v>426</v>
      </c>
      <c r="D28" s="68" t="s">
        <v>425</v>
      </c>
      <c r="E28" s="70">
        <f t="shared" si="1"/>
        <v>0.16875000000000001</v>
      </c>
      <c r="F28" s="69">
        <v>2</v>
      </c>
      <c r="G28" s="72">
        <v>0.33750000000000002</v>
      </c>
      <c r="H28" s="71" t="s">
        <v>125</v>
      </c>
      <c r="I28" s="20" t="s">
        <v>22</v>
      </c>
      <c r="J28" s="21" t="s">
        <v>23</v>
      </c>
      <c r="K28" s="43">
        <v>18</v>
      </c>
      <c r="L28" s="7"/>
    </row>
    <row r="29" spans="1:12" x14ac:dyDescent="0.2">
      <c r="A29" s="66" t="s">
        <v>406</v>
      </c>
      <c r="B29" s="67" t="s">
        <v>416</v>
      </c>
      <c r="C29" s="82" t="s">
        <v>428</v>
      </c>
      <c r="D29" s="68" t="s">
        <v>427</v>
      </c>
      <c r="E29" s="70">
        <f t="shared" si="1"/>
        <v>0.22500000000000001</v>
      </c>
      <c r="F29" s="69">
        <v>2</v>
      </c>
      <c r="G29" s="72">
        <v>0.45</v>
      </c>
      <c r="H29" s="71" t="s">
        <v>127</v>
      </c>
      <c r="I29" s="20" t="s">
        <v>22</v>
      </c>
      <c r="J29" s="21" t="s">
        <v>23</v>
      </c>
      <c r="K29" s="43">
        <v>0</v>
      </c>
      <c r="L29" s="7"/>
    </row>
    <row r="30" spans="1:12" x14ac:dyDescent="0.2">
      <c r="A30" s="66" t="s">
        <v>406</v>
      </c>
      <c r="B30" s="67" t="s">
        <v>438</v>
      </c>
      <c r="C30" s="68" t="s">
        <v>440</v>
      </c>
      <c r="D30" s="68" t="s">
        <v>439</v>
      </c>
      <c r="E30" s="70">
        <f t="shared" si="1"/>
        <v>0.15</v>
      </c>
      <c r="F30" s="69">
        <v>1</v>
      </c>
      <c r="G30" s="72">
        <v>0.15</v>
      </c>
      <c r="H30" s="71" t="s">
        <v>135</v>
      </c>
      <c r="I30" s="20" t="s">
        <v>136</v>
      </c>
      <c r="J30" s="21" t="s">
        <v>137</v>
      </c>
      <c r="K30" s="43">
        <v>16</v>
      </c>
      <c r="L30" s="7"/>
    </row>
    <row r="31" spans="1:12" x14ac:dyDescent="0.2">
      <c r="A31" s="66" t="s">
        <v>406</v>
      </c>
      <c r="B31" s="67" t="s">
        <v>438</v>
      </c>
      <c r="C31" s="68" t="s">
        <v>442</v>
      </c>
      <c r="D31" s="68" t="s">
        <v>441</v>
      </c>
      <c r="E31" s="70">
        <f t="shared" si="1"/>
        <v>0.4</v>
      </c>
      <c r="F31" s="69">
        <v>1</v>
      </c>
      <c r="G31" s="72">
        <v>0.4</v>
      </c>
      <c r="H31" s="71" t="s">
        <v>135</v>
      </c>
      <c r="I31" s="20" t="s">
        <v>136</v>
      </c>
      <c r="J31" s="21" t="s">
        <v>137</v>
      </c>
      <c r="K31" s="43">
        <v>7</v>
      </c>
      <c r="L31" s="7"/>
    </row>
    <row r="32" spans="1:12" x14ac:dyDescent="0.2">
      <c r="A32" s="66" t="s">
        <v>406</v>
      </c>
      <c r="B32" s="67" t="s">
        <v>438</v>
      </c>
      <c r="C32" s="68" t="s">
        <v>444</v>
      </c>
      <c r="D32" s="68" t="s">
        <v>443</v>
      </c>
      <c r="E32" s="70">
        <f t="shared" si="1"/>
        <v>0.6</v>
      </c>
      <c r="F32" s="69">
        <v>1</v>
      </c>
      <c r="G32" s="72">
        <v>0.6</v>
      </c>
      <c r="H32" s="71" t="s">
        <v>135</v>
      </c>
      <c r="I32" s="20" t="s">
        <v>136</v>
      </c>
      <c r="J32" s="21" t="s">
        <v>137</v>
      </c>
      <c r="K32" s="43">
        <v>1</v>
      </c>
      <c r="L32" s="7"/>
    </row>
    <row r="33" spans="1:12" ht="17" thickBot="1" x14ac:dyDescent="0.25">
      <c r="A33" s="83" t="s">
        <v>445</v>
      </c>
      <c r="B33" s="67" t="s">
        <v>446</v>
      </c>
      <c r="C33" s="68" t="s">
        <v>450</v>
      </c>
      <c r="D33" s="68" t="s">
        <v>449</v>
      </c>
      <c r="E33" s="84">
        <f t="shared" si="1"/>
        <v>0.6</v>
      </c>
      <c r="F33" s="85">
        <v>1</v>
      </c>
      <c r="G33" s="86">
        <v>0.6</v>
      </c>
      <c r="H33" s="87" t="s">
        <v>71</v>
      </c>
      <c r="I33" s="28" t="s">
        <v>109</v>
      </c>
      <c r="J33" s="29" t="s">
        <v>142</v>
      </c>
      <c r="K33" s="43">
        <v>98</v>
      </c>
      <c r="L33" s="7"/>
    </row>
    <row r="34" spans="1:12" x14ac:dyDescent="0.2">
      <c r="A34" s="77"/>
      <c r="B34" s="77"/>
      <c r="C34" s="77"/>
      <c r="D34" s="77"/>
      <c r="K34" s="77"/>
    </row>
    <row r="35" spans="1:12" ht="16" customHeight="1" x14ac:dyDescent="0.2">
      <c r="A35" s="78"/>
      <c r="B35" s="79" t="s">
        <v>451</v>
      </c>
      <c r="C35" s="81"/>
      <c r="D35" s="80"/>
      <c r="K35" s="81"/>
    </row>
  </sheetData>
  <autoFilter ref="E1:J33" xr:uid="{3B020867-B258-CF47-B020-CF66A8A6D7BA}"/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CB8C-7C88-504B-9A73-9EE144E3543C}">
  <sheetPr codeName="Sheet2"/>
  <dimension ref="A1:F35"/>
  <sheetViews>
    <sheetView tabSelected="1" zoomScale="126" workbookViewId="0">
      <selection activeCell="E35" sqref="C1:E35"/>
    </sheetView>
  </sheetViews>
  <sheetFormatPr baseColWidth="10" defaultColWidth="11" defaultRowHeight="16" x14ac:dyDescent="0.2"/>
  <cols>
    <col min="1" max="1" width="14.83203125" bestFit="1" customWidth="1"/>
    <col min="2" max="2" width="17.6640625" style="11" bestFit="1" customWidth="1"/>
    <col min="3" max="3" width="21.5" bestFit="1" customWidth="1"/>
    <col min="4" max="4" width="35.1640625" bestFit="1" customWidth="1"/>
    <col min="5" max="5" width="87.33203125" customWidth="1"/>
    <col min="6" max="6" width="19.5" bestFit="1" customWidth="1"/>
  </cols>
  <sheetData>
    <row r="1" spans="1:6" x14ac:dyDescent="0.2">
      <c r="A1" t="s">
        <v>144</v>
      </c>
      <c r="B1" s="11" t="s">
        <v>145</v>
      </c>
      <c r="C1" t="s">
        <v>455</v>
      </c>
      <c r="D1" t="s">
        <v>147</v>
      </c>
      <c r="E1" t="s">
        <v>148</v>
      </c>
      <c r="F1" t="s">
        <v>149</v>
      </c>
    </row>
    <row r="2" spans="1:6" ht="17" x14ac:dyDescent="0.2">
      <c r="A2" t="s">
        <v>180</v>
      </c>
      <c r="B2" s="11" t="s">
        <v>20</v>
      </c>
      <c r="C2" t="s">
        <v>183</v>
      </c>
      <c r="D2" s="3" t="s">
        <v>182</v>
      </c>
      <c r="E2" s="4" t="s">
        <v>184</v>
      </c>
      <c r="F2" t="s">
        <v>21</v>
      </c>
    </row>
    <row r="3" spans="1:6" ht="17" x14ac:dyDescent="0.2">
      <c r="A3" t="s">
        <v>180</v>
      </c>
      <c r="B3" s="11" t="s">
        <v>24</v>
      </c>
      <c r="C3" t="s">
        <v>185</v>
      </c>
      <c r="D3" s="3" t="s">
        <v>182</v>
      </c>
      <c r="E3" s="4" t="s">
        <v>186</v>
      </c>
      <c r="F3" t="s">
        <v>25</v>
      </c>
    </row>
    <row r="4" spans="1:6" ht="17" x14ac:dyDescent="0.2">
      <c r="A4" t="s">
        <v>180</v>
      </c>
      <c r="B4" s="11" t="s">
        <v>26</v>
      </c>
      <c r="C4" t="s">
        <v>181</v>
      </c>
      <c r="D4" s="3" t="s">
        <v>182</v>
      </c>
      <c r="E4" s="4" t="s">
        <v>456</v>
      </c>
      <c r="F4" t="s">
        <v>27</v>
      </c>
    </row>
    <row r="5" spans="1:6" x14ac:dyDescent="0.2">
      <c r="A5" t="s">
        <v>180</v>
      </c>
      <c r="B5" s="11" t="s">
        <v>28</v>
      </c>
      <c r="C5" t="s">
        <v>189</v>
      </c>
      <c r="D5" s="3" t="s">
        <v>171</v>
      </c>
      <c r="E5" s="3" t="s">
        <v>190</v>
      </c>
      <c r="F5" t="s">
        <v>29</v>
      </c>
    </row>
    <row r="6" spans="1:6" x14ac:dyDescent="0.2">
      <c r="A6" t="s">
        <v>180</v>
      </c>
      <c r="B6" s="11" t="s">
        <v>31</v>
      </c>
      <c r="C6" t="s">
        <v>191</v>
      </c>
      <c r="D6" s="3" t="s">
        <v>171</v>
      </c>
      <c r="E6" s="3" t="s">
        <v>192</v>
      </c>
      <c r="F6" t="s">
        <v>32</v>
      </c>
    </row>
    <row r="7" spans="1:6" x14ac:dyDescent="0.2">
      <c r="A7" t="s">
        <v>180</v>
      </c>
      <c r="B7" s="11" t="s">
        <v>33</v>
      </c>
      <c r="C7" t="s">
        <v>187</v>
      </c>
      <c r="D7" s="3" t="s">
        <v>171</v>
      </c>
      <c r="E7" s="3" t="s">
        <v>188</v>
      </c>
      <c r="F7" t="s">
        <v>34</v>
      </c>
    </row>
    <row r="8" spans="1:6" x14ac:dyDescent="0.2">
      <c r="A8" t="s">
        <v>180</v>
      </c>
      <c r="B8" s="11" t="s">
        <v>35</v>
      </c>
      <c r="C8" t="s">
        <v>194</v>
      </c>
      <c r="D8" s="3" t="s">
        <v>174</v>
      </c>
      <c r="E8" s="3" t="s">
        <v>190</v>
      </c>
      <c r="F8" t="s">
        <v>36</v>
      </c>
    </row>
    <row r="9" spans="1:6" x14ac:dyDescent="0.2">
      <c r="A9" t="s">
        <v>180</v>
      </c>
      <c r="B9" s="11" t="s">
        <v>37</v>
      </c>
      <c r="C9" t="s">
        <v>195</v>
      </c>
      <c r="D9" s="3" t="s">
        <v>174</v>
      </c>
      <c r="E9" s="3" t="s">
        <v>192</v>
      </c>
      <c r="F9" t="s">
        <v>38</v>
      </c>
    </row>
    <row r="10" spans="1:6" x14ac:dyDescent="0.2">
      <c r="A10" t="s">
        <v>180</v>
      </c>
      <c r="B10" s="11" t="s">
        <v>39</v>
      </c>
      <c r="C10" t="s">
        <v>193</v>
      </c>
      <c r="D10" s="3" t="s">
        <v>174</v>
      </c>
      <c r="E10" s="3" t="s">
        <v>188</v>
      </c>
      <c r="F10" t="s">
        <v>40</v>
      </c>
    </row>
    <row r="11" spans="1:6" x14ac:dyDescent="0.2">
      <c r="A11" t="s">
        <v>180</v>
      </c>
      <c r="B11" s="11" t="s">
        <v>41</v>
      </c>
      <c r="C11" t="s">
        <v>197</v>
      </c>
      <c r="D11" s="3" t="s">
        <v>176</v>
      </c>
      <c r="E11" s="3" t="s">
        <v>190</v>
      </c>
      <c r="F11" t="s">
        <v>29</v>
      </c>
    </row>
    <row r="12" spans="1:6" x14ac:dyDescent="0.2">
      <c r="A12" t="s">
        <v>180</v>
      </c>
      <c r="B12" s="11" t="s">
        <v>42</v>
      </c>
      <c r="C12" t="s">
        <v>198</v>
      </c>
      <c r="D12" s="3" t="s">
        <v>176</v>
      </c>
      <c r="E12" s="3" t="s">
        <v>192</v>
      </c>
      <c r="F12" t="s">
        <v>32</v>
      </c>
    </row>
    <row r="13" spans="1:6" x14ac:dyDescent="0.2">
      <c r="A13" t="s">
        <v>180</v>
      </c>
      <c r="B13" s="11" t="s">
        <v>43</v>
      </c>
      <c r="C13" t="s">
        <v>196</v>
      </c>
      <c r="D13" s="3" t="s">
        <v>176</v>
      </c>
      <c r="E13" s="3" t="s">
        <v>188</v>
      </c>
      <c r="F13" t="s">
        <v>34</v>
      </c>
    </row>
    <row r="14" spans="1:6" ht="17" x14ac:dyDescent="0.2">
      <c r="A14" t="s">
        <v>180</v>
      </c>
      <c r="B14" s="11" t="s">
        <v>44</v>
      </c>
      <c r="C14" t="s">
        <v>200</v>
      </c>
      <c r="D14" s="3" t="s">
        <v>178</v>
      </c>
      <c r="E14" s="4" t="s">
        <v>201</v>
      </c>
      <c r="F14" t="s">
        <v>21</v>
      </c>
    </row>
    <row r="15" spans="1:6" ht="17" x14ac:dyDescent="0.2">
      <c r="A15" t="s">
        <v>180</v>
      </c>
      <c r="B15" s="11" t="s">
        <v>45</v>
      </c>
      <c r="C15" t="s">
        <v>202</v>
      </c>
      <c r="D15" s="3" t="s">
        <v>178</v>
      </c>
      <c r="E15" s="4" t="s">
        <v>203</v>
      </c>
      <c r="F15" t="s">
        <v>25</v>
      </c>
    </row>
    <row r="16" spans="1:6" ht="17" x14ac:dyDescent="0.2">
      <c r="A16" t="s">
        <v>180</v>
      </c>
      <c r="B16" s="11" t="s">
        <v>46</v>
      </c>
      <c r="C16" t="s">
        <v>199</v>
      </c>
      <c r="D16" s="3" t="s">
        <v>178</v>
      </c>
      <c r="E16" s="4" t="s">
        <v>457</v>
      </c>
      <c r="F16" t="s">
        <v>27</v>
      </c>
    </row>
    <row r="17" spans="1:6" ht="17" x14ac:dyDescent="0.2">
      <c r="A17" t="s">
        <v>165</v>
      </c>
      <c r="B17" s="11" t="s">
        <v>47</v>
      </c>
      <c r="C17" t="s">
        <v>166</v>
      </c>
      <c r="D17" s="3" t="s">
        <v>167</v>
      </c>
      <c r="E17" s="4" t="s">
        <v>168</v>
      </c>
      <c r="F17" t="s">
        <v>169</v>
      </c>
    </row>
    <row r="18" spans="1:6" x14ac:dyDescent="0.2">
      <c r="A18" t="s">
        <v>165</v>
      </c>
      <c r="B18" s="11" t="s">
        <v>48</v>
      </c>
      <c r="C18" t="s">
        <v>170</v>
      </c>
      <c r="D18" s="3" t="s">
        <v>171</v>
      </c>
      <c r="E18" s="3" t="s">
        <v>172</v>
      </c>
      <c r="F18" t="s">
        <v>169</v>
      </c>
    </row>
    <row r="19" spans="1:6" x14ac:dyDescent="0.2">
      <c r="A19" t="s">
        <v>165</v>
      </c>
      <c r="B19" s="11" t="s">
        <v>49</v>
      </c>
      <c r="C19" t="s">
        <v>173</v>
      </c>
      <c r="D19" s="3" t="s">
        <v>174</v>
      </c>
      <c r="E19" s="3" t="s">
        <v>172</v>
      </c>
      <c r="F19" t="s">
        <v>169</v>
      </c>
    </row>
    <row r="20" spans="1:6" x14ac:dyDescent="0.2">
      <c r="A20" t="s">
        <v>165</v>
      </c>
      <c r="B20" s="11" t="s">
        <v>50</v>
      </c>
      <c r="C20" t="s">
        <v>175</v>
      </c>
      <c r="D20" s="3" t="s">
        <v>176</v>
      </c>
      <c r="E20" s="3" t="s">
        <v>172</v>
      </c>
      <c r="F20" t="s">
        <v>169</v>
      </c>
    </row>
    <row r="21" spans="1:6" ht="17" x14ac:dyDescent="0.2">
      <c r="A21" t="s">
        <v>165</v>
      </c>
      <c r="B21" s="11" t="s">
        <v>51</v>
      </c>
      <c r="C21" t="s">
        <v>177</v>
      </c>
      <c r="D21" s="3" t="s">
        <v>178</v>
      </c>
      <c r="E21" s="4" t="s">
        <v>179</v>
      </c>
      <c r="F21" t="s">
        <v>169</v>
      </c>
    </row>
    <row r="22" spans="1:6" x14ac:dyDescent="0.2">
      <c r="A22" t="s">
        <v>180</v>
      </c>
      <c r="B22" s="11" t="s">
        <v>52</v>
      </c>
      <c r="C22" t="s">
        <v>215</v>
      </c>
      <c r="D22" s="3" t="s">
        <v>210</v>
      </c>
      <c r="E22" s="3" t="s">
        <v>216</v>
      </c>
      <c r="F22" t="s">
        <v>53</v>
      </c>
    </row>
    <row r="23" spans="1:6" x14ac:dyDescent="0.2">
      <c r="A23" t="s">
        <v>180</v>
      </c>
      <c r="B23" s="11" t="s">
        <v>57</v>
      </c>
      <c r="C23" t="s">
        <v>217</v>
      </c>
      <c r="D23" s="3" t="s">
        <v>213</v>
      </c>
      <c r="E23" s="3" t="s">
        <v>218</v>
      </c>
      <c r="F23" t="s">
        <v>58</v>
      </c>
    </row>
    <row r="24" spans="1:6" x14ac:dyDescent="0.2">
      <c r="A24" t="s">
        <v>180</v>
      </c>
      <c r="B24" s="11" t="s">
        <v>60</v>
      </c>
      <c r="C24" t="s">
        <v>212</v>
      </c>
      <c r="D24" s="3" t="s">
        <v>213</v>
      </c>
      <c r="E24" s="3" t="s">
        <v>214</v>
      </c>
      <c r="F24" t="s">
        <v>61</v>
      </c>
    </row>
    <row r="25" spans="1:6" x14ac:dyDescent="0.2">
      <c r="A25" t="s">
        <v>165</v>
      </c>
      <c r="B25" s="11" t="s">
        <v>63</v>
      </c>
      <c r="C25" t="s">
        <v>209</v>
      </c>
      <c r="D25" s="3" t="s">
        <v>210</v>
      </c>
      <c r="E25" s="3" t="s">
        <v>211</v>
      </c>
      <c r="F25" t="s">
        <v>169</v>
      </c>
    </row>
    <row r="26" spans="1:6" x14ac:dyDescent="0.2">
      <c r="A26" t="s">
        <v>150</v>
      </c>
      <c r="B26" s="11" t="s">
        <v>83</v>
      </c>
      <c r="C26" t="s">
        <v>151</v>
      </c>
      <c r="D26" s="3" t="s">
        <v>152</v>
      </c>
      <c r="E26" s="3" t="s">
        <v>153</v>
      </c>
    </row>
    <row r="27" spans="1:6" x14ac:dyDescent="0.2">
      <c r="B27" s="11" t="s">
        <v>81</v>
      </c>
      <c r="C27" t="s">
        <v>154</v>
      </c>
      <c r="D27" s="3" t="s">
        <v>152</v>
      </c>
      <c r="E27" s="3" t="s">
        <v>155</v>
      </c>
    </row>
    <row r="28" spans="1:6" x14ac:dyDescent="0.2">
      <c r="B28" s="11" t="s">
        <v>82</v>
      </c>
      <c r="C28" t="s">
        <v>156</v>
      </c>
      <c r="D28" s="3" t="s">
        <v>152</v>
      </c>
      <c r="E28" s="3" t="s">
        <v>157</v>
      </c>
    </row>
    <row r="29" spans="1:6" x14ac:dyDescent="0.2">
      <c r="B29" s="11" t="s">
        <v>89</v>
      </c>
      <c r="C29" t="s">
        <v>158</v>
      </c>
      <c r="D29" s="3" t="s">
        <v>159</v>
      </c>
      <c r="E29" s="3" t="s">
        <v>153</v>
      </c>
    </row>
    <row r="30" spans="1:6" x14ac:dyDescent="0.2">
      <c r="B30" s="11" t="s">
        <v>87</v>
      </c>
      <c r="C30" t="s">
        <v>160</v>
      </c>
      <c r="D30" s="3" t="s">
        <v>159</v>
      </c>
      <c r="E30" s="3" t="s">
        <v>155</v>
      </c>
    </row>
    <row r="31" spans="1:6" x14ac:dyDescent="0.2">
      <c r="B31" s="11" t="s">
        <v>88</v>
      </c>
      <c r="C31" t="s">
        <v>161</v>
      </c>
      <c r="D31" s="3" t="s">
        <v>159</v>
      </c>
      <c r="E31" s="3" t="s">
        <v>157</v>
      </c>
    </row>
    <row r="32" spans="1:6" x14ac:dyDescent="0.2">
      <c r="B32" s="11" t="s">
        <v>108</v>
      </c>
      <c r="C32" t="s">
        <v>207</v>
      </c>
      <c r="D32" s="3" t="s">
        <v>208</v>
      </c>
      <c r="E32" s="3" t="s">
        <v>164</v>
      </c>
      <c r="F32" t="s">
        <v>70</v>
      </c>
    </row>
    <row r="33" spans="2:6" x14ac:dyDescent="0.2">
      <c r="B33" s="11" t="s">
        <v>110</v>
      </c>
      <c r="C33" t="s">
        <v>162</v>
      </c>
      <c r="D33" s="3" t="s">
        <v>163</v>
      </c>
      <c r="E33" s="3" t="s">
        <v>164</v>
      </c>
      <c r="F33" t="s">
        <v>111</v>
      </c>
    </row>
    <row r="34" spans="2:6" x14ac:dyDescent="0.2">
      <c r="B34" s="11" t="s">
        <v>68</v>
      </c>
      <c r="C34" t="s">
        <v>204</v>
      </c>
      <c r="D34" s="3" t="s">
        <v>205</v>
      </c>
      <c r="E34" s="3" t="s">
        <v>206</v>
      </c>
      <c r="F34" t="s">
        <v>65</v>
      </c>
    </row>
    <row r="35" spans="2:6" x14ac:dyDescent="0.2">
      <c r="B35" s="11" t="s">
        <v>150</v>
      </c>
      <c r="C35" t="s">
        <v>219</v>
      </c>
      <c r="D35" s="3" t="s">
        <v>220</v>
      </c>
      <c r="E35" s="3" t="s">
        <v>221</v>
      </c>
    </row>
  </sheetData>
  <sortState xmlns:xlrd2="http://schemas.microsoft.com/office/spreadsheetml/2017/richdata2" ref="A2:G34">
    <sortCondition ref="B2:B34"/>
  </sortState>
  <phoneticPr fontId="18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5465-085F-B546-9FB7-D925D32DDD13}">
  <sheetPr codeName="Sheet3"/>
  <dimension ref="A1:G31"/>
  <sheetViews>
    <sheetView zoomScale="117" workbookViewId="0"/>
  </sheetViews>
  <sheetFormatPr baseColWidth="10" defaultColWidth="11" defaultRowHeight="16" x14ac:dyDescent="0.2"/>
  <cols>
    <col min="2" max="2" width="17.6640625" bestFit="1" customWidth="1"/>
    <col min="3" max="3" width="17.83203125" customWidth="1"/>
    <col min="4" max="4" width="32.5" bestFit="1" customWidth="1"/>
    <col min="5" max="5" width="38.5" bestFit="1" customWidth="1"/>
    <col min="6" max="6" width="19.5" bestFit="1" customWidth="1"/>
  </cols>
  <sheetData>
    <row r="1" spans="1:7" x14ac:dyDescent="0.2">
      <c r="B1" s="11" t="s">
        <v>145</v>
      </c>
      <c r="C1" t="s">
        <v>146</v>
      </c>
      <c r="D1" t="s">
        <v>147</v>
      </c>
      <c r="E1" t="s">
        <v>148</v>
      </c>
      <c r="F1" t="s">
        <v>1</v>
      </c>
      <c r="G1" t="s">
        <v>6</v>
      </c>
    </row>
    <row r="2" spans="1:7" x14ac:dyDescent="0.2">
      <c r="A2" t="s">
        <v>180</v>
      </c>
      <c r="B2" s="11" t="s">
        <v>28</v>
      </c>
      <c r="C2" t="s">
        <v>189</v>
      </c>
      <c r="D2" t="s">
        <v>222</v>
      </c>
      <c r="E2" s="5" t="s">
        <v>190</v>
      </c>
      <c r="F2" t="s">
        <v>28</v>
      </c>
      <c r="G2" s="6">
        <v>2.2499999999999999E-2</v>
      </c>
    </row>
    <row r="3" spans="1:7" x14ac:dyDescent="0.2">
      <c r="A3" t="s">
        <v>180</v>
      </c>
      <c r="B3" s="11" t="s">
        <v>31</v>
      </c>
      <c r="C3" t="s">
        <v>191</v>
      </c>
      <c r="D3" t="s">
        <v>222</v>
      </c>
      <c r="E3" s="5" t="s">
        <v>192</v>
      </c>
      <c r="F3" t="s">
        <v>31</v>
      </c>
      <c r="G3" s="6">
        <v>3.3750000000000002E-2</v>
      </c>
    </row>
    <row r="4" spans="1:7" x14ac:dyDescent="0.2">
      <c r="A4" t="s">
        <v>180</v>
      </c>
      <c r="B4" s="11" t="s">
        <v>33</v>
      </c>
      <c r="C4" t="s">
        <v>187</v>
      </c>
      <c r="D4" t="s">
        <v>222</v>
      </c>
      <c r="E4" s="5" t="s">
        <v>188</v>
      </c>
      <c r="F4" t="s">
        <v>33</v>
      </c>
      <c r="G4" s="6">
        <v>4.4999999999999998E-2</v>
      </c>
    </row>
    <row r="5" spans="1:7" x14ac:dyDescent="0.2">
      <c r="A5" t="s">
        <v>180</v>
      </c>
      <c r="B5" s="11" t="s">
        <v>35</v>
      </c>
      <c r="C5" t="s">
        <v>194</v>
      </c>
      <c r="D5" t="s">
        <v>223</v>
      </c>
      <c r="E5" s="5" t="s">
        <v>190</v>
      </c>
      <c r="F5" t="s">
        <v>35</v>
      </c>
      <c r="G5" s="6">
        <v>3.5999999999999997E-2</v>
      </c>
    </row>
    <row r="6" spans="1:7" x14ac:dyDescent="0.2">
      <c r="A6" t="s">
        <v>180</v>
      </c>
      <c r="B6" s="11" t="s">
        <v>37</v>
      </c>
      <c r="C6" t="s">
        <v>195</v>
      </c>
      <c r="D6" t="s">
        <v>223</v>
      </c>
      <c r="E6" s="5" t="s">
        <v>192</v>
      </c>
      <c r="F6" t="s">
        <v>37</v>
      </c>
      <c r="G6" s="6">
        <v>5.3999999999999999E-2</v>
      </c>
    </row>
    <row r="7" spans="1:7" x14ac:dyDescent="0.2">
      <c r="A7" t="s">
        <v>180</v>
      </c>
      <c r="B7" s="11" t="s">
        <v>39</v>
      </c>
      <c r="C7" t="s">
        <v>193</v>
      </c>
      <c r="D7" t="s">
        <v>223</v>
      </c>
      <c r="E7" s="5" t="s">
        <v>188</v>
      </c>
      <c r="F7" t="s">
        <v>39</v>
      </c>
      <c r="G7" s="6">
        <v>7.1999999999999995E-2</v>
      </c>
    </row>
    <row r="8" spans="1:7" x14ac:dyDescent="0.2">
      <c r="A8" t="s">
        <v>180</v>
      </c>
      <c r="B8" s="11" t="s">
        <v>41</v>
      </c>
      <c r="C8" t="s">
        <v>197</v>
      </c>
      <c r="D8" t="s">
        <v>224</v>
      </c>
      <c r="E8" s="5" t="s">
        <v>190</v>
      </c>
      <c r="F8" t="s">
        <v>41</v>
      </c>
      <c r="G8" s="6">
        <v>2.2499999999999999E-2</v>
      </c>
    </row>
    <row r="9" spans="1:7" x14ac:dyDescent="0.2">
      <c r="A9" t="s">
        <v>180</v>
      </c>
      <c r="B9" s="11" t="s">
        <v>42</v>
      </c>
      <c r="C9" t="s">
        <v>198</v>
      </c>
      <c r="D9" t="s">
        <v>224</v>
      </c>
      <c r="E9" s="5" t="s">
        <v>192</v>
      </c>
      <c r="F9" t="s">
        <v>42</v>
      </c>
      <c r="G9" s="6">
        <v>3.3750000000000002E-2</v>
      </c>
    </row>
    <row r="10" spans="1:7" x14ac:dyDescent="0.2">
      <c r="A10" t="s">
        <v>180</v>
      </c>
      <c r="B10" s="11" t="s">
        <v>43</v>
      </c>
      <c r="C10" t="s">
        <v>196</v>
      </c>
      <c r="D10" t="s">
        <v>224</v>
      </c>
      <c r="E10" s="5" t="s">
        <v>188</v>
      </c>
      <c r="F10" t="s">
        <v>43</v>
      </c>
      <c r="G10" s="6">
        <v>4.4999999999999998E-2</v>
      </c>
    </row>
    <row r="11" spans="1:7" x14ac:dyDescent="0.2">
      <c r="A11" t="s">
        <v>165</v>
      </c>
      <c r="B11" s="11" t="s">
        <v>48</v>
      </c>
      <c r="C11" t="s">
        <v>170</v>
      </c>
      <c r="D11" t="s">
        <v>222</v>
      </c>
      <c r="E11" t="s">
        <v>172</v>
      </c>
      <c r="F11" t="s">
        <v>48</v>
      </c>
      <c r="G11" s="6">
        <v>1.125E-2</v>
      </c>
    </row>
    <row r="12" spans="1:7" x14ac:dyDescent="0.2">
      <c r="A12" t="s">
        <v>165</v>
      </c>
      <c r="B12" s="11" t="s">
        <v>49</v>
      </c>
      <c r="C12" t="s">
        <v>173</v>
      </c>
      <c r="D12" t="s">
        <v>223</v>
      </c>
      <c r="E12" t="s">
        <v>172</v>
      </c>
      <c r="F12" t="s">
        <v>49</v>
      </c>
      <c r="G12" s="6">
        <v>1.7999999999999999E-2</v>
      </c>
    </row>
    <row r="13" spans="1:7" x14ac:dyDescent="0.2">
      <c r="A13" t="s">
        <v>165</v>
      </c>
      <c r="B13" s="11" t="s">
        <v>50</v>
      </c>
      <c r="C13" t="s">
        <v>175</v>
      </c>
      <c r="D13" t="s">
        <v>224</v>
      </c>
      <c r="E13" t="s">
        <v>172</v>
      </c>
      <c r="F13" t="s">
        <v>50</v>
      </c>
      <c r="G13" s="6">
        <v>1.125E-2</v>
      </c>
    </row>
    <row r="14" spans="1:7" x14ac:dyDescent="0.2">
      <c r="A14" t="s">
        <v>180</v>
      </c>
      <c r="B14" s="11" t="s">
        <v>52</v>
      </c>
      <c r="C14" t="s">
        <v>215</v>
      </c>
      <c r="D14" s="10" t="s">
        <v>225</v>
      </c>
      <c r="E14" t="s">
        <v>226</v>
      </c>
      <c r="F14" t="s">
        <v>52</v>
      </c>
      <c r="G14" s="6">
        <v>2.2499999999999999E-2</v>
      </c>
    </row>
    <row r="15" spans="1:7" x14ac:dyDescent="0.2">
      <c r="A15" t="s">
        <v>180</v>
      </c>
      <c r="B15" s="11" t="s">
        <v>57</v>
      </c>
      <c r="C15" t="s">
        <v>217</v>
      </c>
      <c r="D15" s="10" t="s">
        <v>225</v>
      </c>
      <c r="E15" t="s">
        <v>227</v>
      </c>
      <c r="F15" t="s">
        <v>57</v>
      </c>
      <c r="G15" s="6">
        <v>0.22500000000000001</v>
      </c>
    </row>
    <row r="16" spans="1:7" x14ac:dyDescent="0.2">
      <c r="A16" t="s">
        <v>180</v>
      </c>
      <c r="B16" s="11" t="s">
        <v>60</v>
      </c>
      <c r="C16" t="s">
        <v>212</v>
      </c>
      <c r="D16" s="10" t="s">
        <v>225</v>
      </c>
      <c r="E16" t="s">
        <v>228</v>
      </c>
      <c r="F16" t="s">
        <v>60</v>
      </c>
      <c r="G16" s="6">
        <v>0.45</v>
      </c>
    </row>
    <row r="17" spans="1:7" x14ac:dyDescent="0.2">
      <c r="A17" t="s">
        <v>180</v>
      </c>
      <c r="B17" s="11" t="s">
        <v>63</v>
      </c>
      <c r="C17" t="s">
        <v>209</v>
      </c>
      <c r="D17" s="10" t="s">
        <v>225</v>
      </c>
      <c r="E17" t="s">
        <v>211</v>
      </c>
      <c r="F17" t="s">
        <v>63</v>
      </c>
      <c r="G17" s="6">
        <v>1.125E-2</v>
      </c>
    </row>
    <row r="18" spans="1:7" x14ac:dyDescent="0.2">
      <c r="A18" t="s">
        <v>180</v>
      </c>
      <c r="B18" s="11" t="s">
        <v>64</v>
      </c>
      <c r="C18" t="s">
        <v>229</v>
      </c>
      <c r="D18" s="10" t="s">
        <v>230</v>
      </c>
      <c r="E18" t="s">
        <v>231</v>
      </c>
      <c r="F18" t="s">
        <v>64</v>
      </c>
      <c r="G18" s="6">
        <v>0.315</v>
      </c>
    </row>
    <row r="19" spans="1:7" x14ac:dyDescent="0.2">
      <c r="A19" t="s">
        <v>180</v>
      </c>
      <c r="B19" s="11" t="s">
        <v>68</v>
      </c>
      <c r="C19" t="s">
        <v>204</v>
      </c>
      <c r="D19" s="10" t="s">
        <v>232</v>
      </c>
      <c r="E19" t="s">
        <v>231</v>
      </c>
      <c r="F19" t="s">
        <v>68</v>
      </c>
      <c r="G19" s="6">
        <v>0.315</v>
      </c>
    </row>
    <row r="20" spans="1:7" x14ac:dyDescent="0.2">
      <c r="A20" s="8" t="s">
        <v>150</v>
      </c>
      <c r="B20" s="11" t="s">
        <v>114</v>
      </c>
      <c r="C20" t="s">
        <v>233</v>
      </c>
      <c r="D20" s="10" t="s">
        <v>234</v>
      </c>
      <c r="E20" t="s">
        <v>235</v>
      </c>
      <c r="F20" t="s">
        <v>114</v>
      </c>
      <c r="G20" s="6">
        <v>2.2499999999999999E-2</v>
      </c>
    </row>
    <row r="21" spans="1:7" x14ac:dyDescent="0.2">
      <c r="A21" s="8" t="s">
        <v>150</v>
      </c>
      <c r="B21" s="11" t="s">
        <v>118</v>
      </c>
      <c r="C21" t="s">
        <v>236</v>
      </c>
      <c r="D21" s="10" t="s">
        <v>234</v>
      </c>
      <c r="E21" t="s">
        <v>237</v>
      </c>
      <c r="F21" t="s">
        <v>118</v>
      </c>
      <c r="G21" s="6">
        <v>0.22500000000000001</v>
      </c>
    </row>
    <row r="22" spans="1:7" x14ac:dyDescent="0.2">
      <c r="A22" s="8" t="s">
        <v>150</v>
      </c>
      <c r="B22" s="11" t="s">
        <v>120</v>
      </c>
      <c r="C22" t="s">
        <v>238</v>
      </c>
      <c r="D22" s="10" t="s">
        <v>234</v>
      </c>
      <c r="E22" t="s">
        <v>239</v>
      </c>
      <c r="F22" t="s">
        <v>120</v>
      </c>
      <c r="G22" s="6">
        <v>0.45</v>
      </c>
    </row>
    <row r="23" spans="1:7" x14ac:dyDescent="0.2">
      <c r="A23" s="8" t="s">
        <v>150</v>
      </c>
      <c r="B23" s="11" t="s">
        <v>122</v>
      </c>
      <c r="C23" t="s">
        <v>240</v>
      </c>
      <c r="D23" t="s">
        <v>241</v>
      </c>
      <c r="E23" t="s">
        <v>242</v>
      </c>
      <c r="F23" t="s">
        <v>122</v>
      </c>
      <c r="G23" s="6">
        <v>0.1125</v>
      </c>
    </row>
    <row r="24" spans="1:7" x14ac:dyDescent="0.2">
      <c r="A24" s="8" t="s">
        <v>150</v>
      </c>
      <c r="B24" s="11" t="s">
        <v>124</v>
      </c>
      <c r="C24" t="s">
        <v>243</v>
      </c>
      <c r="D24" t="s">
        <v>241</v>
      </c>
      <c r="E24" t="s">
        <v>244</v>
      </c>
      <c r="F24" t="s">
        <v>124</v>
      </c>
      <c r="G24" s="7">
        <v>0.16875000000000001</v>
      </c>
    </row>
    <row r="25" spans="1:7" x14ac:dyDescent="0.2">
      <c r="A25" s="8" t="s">
        <v>150</v>
      </c>
      <c r="B25" s="11" t="s">
        <v>126</v>
      </c>
      <c r="C25" t="s">
        <v>245</v>
      </c>
      <c r="D25" t="s">
        <v>241</v>
      </c>
      <c r="E25" t="s">
        <v>246</v>
      </c>
      <c r="F25" t="s">
        <v>126</v>
      </c>
      <c r="G25" s="7">
        <v>0.22500000000000001</v>
      </c>
    </row>
    <row r="26" spans="1:7" x14ac:dyDescent="0.2">
      <c r="A26" s="8" t="s">
        <v>150</v>
      </c>
      <c r="B26" s="11" t="s">
        <v>128</v>
      </c>
      <c r="C26" t="s">
        <v>247</v>
      </c>
      <c r="D26" t="s">
        <v>248</v>
      </c>
      <c r="E26" t="s">
        <v>242</v>
      </c>
      <c r="F26" t="s">
        <v>128</v>
      </c>
      <c r="G26" s="7">
        <v>0.1125</v>
      </c>
    </row>
    <row r="27" spans="1:7" x14ac:dyDescent="0.2">
      <c r="A27" s="8" t="s">
        <v>150</v>
      </c>
      <c r="B27" s="11" t="s">
        <v>129</v>
      </c>
      <c r="C27" t="s">
        <v>249</v>
      </c>
      <c r="D27" t="s">
        <v>248</v>
      </c>
      <c r="E27" t="s">
        <v>244</v>
      </c>
      <c r="F27" t="s">
        <v>129</v>
      </c>
      <c r="G27" s="7">
        <v>0.16875000000000001</v>
      </c>
    </row>
    <row r="28" spans="1:7" x14ac:dyDescent="0.2">
      <c r="A28" s="8" t="s">
        <v>150</v>
      </c>
      <c r="B28" s="11" t="s">
        <v>130</v>
      </c>
      <c r="C28" t="s">
        <v>250</v>
      </c>
      <c r="D28" t="s">
        <v>248</v>
      </c>
      <c r="E28" t="s">
        <v>246</v>
      </c>
      <c r="F28" t="s">
        <v>130</v>
      </c>
      <c r="G28" s="7">
        <v>0.22500000000000001</v>
      </c>
    </row>
    <row r="29" spans="1:7" x14ac:dyDescent="0.2">
      <c r="A29" s="8" t="s">
        <v>150</v>
      </c>
      <c r="B29" s="11" t="s">
        <v>134</v>
      </c>
      <c r="C29" s="8" t="s">
        <v>251</v>
      </c>
      <c r="D29" s="8" t="s">
        <v>150</v>
      </c>
      <c r="E29" s="8" t="s">
        <v>150</v>
      </c>
      <c r="F29" s="8" t="s">
        <v>134</v>
      </c>
      <c r="G29" s="9">
        <v>0.15</v>
      </c>
    </row>
    <row r="30" spans="1:7" x14ac:dyDescent="0.2">
      <c r="A30" s="8" t="s">
        <v>150</v>
      </c>
      <c r="B30" s="11" t="s">
        <v>138</v>
      </c>
      <c r="C30" s="8" t="s">
        <v>252</v>
      </c>
      <c r="D30" s="8" t="s">
        <v>150</v>
      </c>
      <c r="E30" s="8" t="s">
        <v>150</v>
      </c>
      <c r="F30" s="8" t="s">
        <v>138</v>
      </c>
      <c r="G30" s="9">
        <v>0.4</v>
      </c>
    </row>
    <row r="31" spans="1:7" x14ac:dyDescent="0.2">
      <c r="A31" s="8" t="s">
        <v>150</v>
      </c>
      <c r="B31" s="11" t="s">
        <v>139</v>
      </c>
      <c r="C31" s="8" t="s">
        <v>253</v>
      </c>
      <c r="D31" s="8" t="s">
        <v>150</v>
      </c>
      <c r="E31" s="8" t="s">
        <v>150</v>
      </c>
      <c r="F31" s="8" t="s">
        <v>139</v>
      </c>
      <c r="G31" s="9">
        <v>0.6</v>
      </c>
    </row>
  </sheetData>
  <phoneticPr fontId="18" type="noConversion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9465-E4F4-8F46-9F1D-42C0EEAB5ADD}">
  <sheetPr codeName="Sheet4"/>
  <dimension ref="A1:F87"/>
  <sheetViews>
    <sheetView zoomScale="86" zoomScaleNormal="71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G93" sqref="G93"/>
    </sheetView>
  </sheetViews>
  <sheetFormatPr baseColWidth="10" defaultColWidth="11" defaultRowHeight="16" x14ac:dyDescent="0.2"/>
  <cols>
    <col min="1" max="1" width="11.33203125" bestFit="1" customWidth="1"/>
    <col min="2" max="2" width="19.33203125" bestFit="1" customWidth="1"/>
    <col min="3" max="3" width="20.6640625" bestFit="1" customWidth="1"/>
    <col min="4" max="4" width="19.5" customWidth="1"/>
    <col min="5" max="5" width="10.33203125" customWidth="1"/>
  </cols>
  <sheetData>
    <row r="1" spans="1:5" s="2" customFormat="1" x14ac:dyDescent="0.2">
      <c r="A1" s="12" t="s">
        <v>0</v>
      </c>
      <c r="B1" s="13" t="s">
        <v>1</v>
      </c>
      <c r="C1" s="12" t="s">
        <v>2</v>
      </c>
      <c r="D1" s="31" t="s">
        <v>6</v>
      </c>
      <c r="E1" s="30"/>
    </row>
    <row r="2" spans="1:5" x14ac:dyDescent="0.2">
      <c r="A2" s="18" t="s">
        <v>11</v>
      </c>
      <c r="B2" s="19" t="s">
        <v>12</v>
      </c>
      <c r="C2" s="18">
        <v>0</v>
      </c>
      <c r="D2" s="32">
        <v>0</v>
      </c>
      <c r="E2" s="7"/>
    </row>
    <row r="3" spans="1:5" x14ac:dyDescent="0.2">
      <c r="A3" s="18" t="s">
        <v>11</v>
      </c>
      <c r="B3" s="19" t="s">
        <v>15</v>
      </c>
      <c r="C3" s="18">
        <v>0</v>
      </c>
      <c r="D3" s="32">
        <v>0</v>
      </c>
      <c r="E3" s="7"/>
    </row>
    <row r="4" spans="1:5" x14ac:dyDescent="0.2">
      <c r="A4" s="18" t="s">
        <v>11</v>
      </c>
      <c r="B4" s="19" t="s">
        <v>16</v>
      </c>
      <c r="C4" s="18">
        <v>0</v>
      </c>
      <c r="D4" s="32">
        <v>0</v>
      </c>
      <c r="E4" s="7"/>
    </row>
    <row r="5" spans="1:5" x14ac:dyDescent="0.2">
      <c r="A5" s="18" t="s">
        <v>11</v>
      </c>
      <c r="B5" s="19" t="s">
        <v>17</v>
      </c>
      <c r="C5" s="18">
        <v>0</v>
      </c>
      <c r="D5" s="32">
        <v>0</v>
      </c>
      <c r="E5" s="7"/>
    </row>
    <row r="6" spans="1:5" x14ac:dyDescent="0.2">
      <c r="A6" s="18" t="s">
        <v>11</v>
      </c>
      <c r="B6" s="19" t="s">
        <v>18</v>
      </c>
      <c r="C6" s="18">
        <v>0</v>
      </c>
      <c r="D6" s="32">
        <v>0</v>
      </c>
      <c r="E6" s="7"/>
    </row>
    <row r="7" spans="1:5" x14ac:dyDescent="0.2">
      <c r="A7" s="18" t="s">
        <v>11</v>
      </c>
      <c r="B7" s="19" t="s">
        <v>19</v>
      </c>
      <c r="C7" s="18">
        <v>0</v>
      </c>
      <c r="D7" s="32">
        <v>0</v>
      </c>
      <c r="E7" s="7"/>
    </row>
    <row r="8" spans="1:5" x14ac:dyDescent="0.2">
      <c r="A8" s="18" t="s">
        <v>11</v>
      </c>
      <c r="B8" s="19" t="s">
        <v>20</v>
      </c>
      <c r="C8" s="18">
        <v>5.4999999999999997E-3</v>
      </c>
      <c r="D8" s="32">
        <v>0</v>
      </c>
      <c r="E8" s="7"/>
    </row>
    <row r="9" spans="1:5" x14ac:dyDescent="0.2">
      <c r="A9" s="18" t="s">
        <v>11</v>
      </c>
      <c r="B9" s="19" t="s">
        <v>24</v>
      </c>
      <c r="C9" s="18">
        <v>1.55E-2</v>
      </c>
      <c r="D9" s="32">
        <v>0</v>
      </c>
      <c r="E9" s="7"/>
    </row>
    <row r="10" spans="1:5" x14ac:dyDescent="0.2">
      <c r="A10" s="18" t="s">
        <v>11</v>
      </c>
      <c r="B10" s="19" t="s">
        <v>26</v>
      </c>
      <c r="C10" s="18">
        <v>4.2000000000000003E-2</v>
      </c>
      <c r="D10" s="32">
        <v>0</v>
      </c>
      <c r="E10" s="7"/>
    </row>
    <row r="11" spans="1:5" x14ac:dyDescent="0.2">
      <c r="A11" s="18" t="s">
        <v>11</v>
      </c>
      <c r="B11" s="19" t="s">
        <v>28</v>
      </c>
      <c r="C11" s="18">
        <v>5.4999999999999997E-3</v>
      </c>
      <c r="D11" s="32">
        <v>2.2499999999999999E-2</v>
      </c>
      <c r="E11" s="7"/>
    </row>
    <row r="12" spans="1:5" x14ac:dyDescent="0.2">
      <c r="A12" s="18" t="s">
        <v>11</v>
      </c>
      <c r="B12" s="19" t="s">
        <v>31</v>
      </c>
      <c r="C12" s="18">
        <v>0.109</v>
      </c>
      <c r="D12" s="32">
        <v>3.3750000000000002E-2</v>
      </c>
      <c r="E12" s="7"/>
    </row>
    <row r="13" spans="1:5" x14ac:dyDescent="0.2">
      <c r="A13" s="18" t="s">
        <v>11</v>
      </c>
      <c r="B13" s="19" t="s">
        <v>33</v>
      </c>
      <c r="C13" s="18">
        <v>0.41549999999999998</v>
      </c>
      <c r="D13" s="32">
        <v>4.4999999999999998E-2</v>
      </c>
      <c r="E13" s="7"/>
    </row>
    <row r="14" spans="1:5" x14ac:dyDescent="0.2">
      <c r="A14" s="18" t="s">
        <v>11</v>
      </c>
      <c r="B14" s="19" t="s">
        <v>35</v>
      </c>
      <c r="C14" s="18">
        <v>8.8000000000000005E-3</v>
      </c>
      <c r="D14" s="32">
        <v>3.5999999999999997E-2</v>
      </c>
      <c r="E14" s="7"/>
    </row>
    <row r="15" spans="1:5" x14ac:dyDescent="0.2">
      <c r="A15" s="18" t="s">
        <v>11</v>
      </c>
      <c r="B15" s="19" t="s">
        <v>37</v>
      </c>
      <c r="C15" s="18">
        <v>0.1744</v>
      </c>
      <c r="D15" s="32">
        <v>5.3999999999999999E-2</v>
      </c>
      <c r="E15" s="7"/>
    </row>
    <row r="16" spans="1:5" x14ac:dyDescent="0.2">
      <c r="A16" s="18" t="s">
        <v>11</v>
      </c>
      <c r="B16" s="19" t="s">
        <v>39</v>
      </c>
      <c r="C16" s="18">
        <v>0.66479999999999995</v>
      </c>
      <c r="D16" s="32">
        <v>7.1999999999999995E-2</v>
      </c>
      <c r="E16" s="7"/>
    </row>
    <row r="17" spans="1:5" x14ac:dyDescent="0.2">
      <c r="A17" s="18" t="s">
        <v>11</v>
      </c>
      <c r="B17" s="19" t="s">
        <v>41</v>
      </c>
      <c r="C17" s="18">
        <v>5.4999999999999997E-3</v>
      </c>
      <c r="D17" s="32">
        <v>2.2499999999999999E-2</v>
      </c>
      <c r="E17" s="7"/>
    </row>
    <row r="18" spans="1:5" x14ac:dyDescent="0.2">
      <c r="A18" s="18" t="s">
        <v>11</v>
      </c>
      <c r="B18" s="19" t="s">
        <v>42</v>
      </c>
      <c r="C18" s="18">
        <v>0.109</v>
      </c>
      <c r="D18" s="32">
        <v>3.3750000000000002E-2</v>
      </c>
      <c r="E18" s="7"/>
    </row>
    <row r="19" spans="1:5" x14ac:dyDescent="0.2">
      <c r="A19" s="18" t="s">
        <v>11</v>
      </c>
      <c r="B19" s="19" t="s">
        <v>43</v>
      </c>
      <c r="C19" s="18">
        <v>0.41549999999999998</v>
      </c>
      <c r="D19" s="32">
        <v>4.4999999999999998E-2</v>
      </c>
      <c r="E19" s="7"/>
    </row>
    <row r="20" spans="1:5" x14ac:dyDescent="0.2">
      <c r="A20" s="18" t="s">
        <v>11</v>
      </c>
      <c r="B20" s="19" t="s">
        <v>44</v>
      </c>
      <c r="C20" s="18">
        <v>5.4999999999999997E-3</v>
      </c>
      <c r="D20" s="32">
        <v>0</v>
      </c>
      <c r="E20" s="7"/>
    </row>
    <row r="21" spans="1:5" x14ac:dyDescent="0.2">
      <c r="A21" s="18" t="s">
        <v>11</v>
      </c>
      <c r="B21" s="19" t="s">
        <v>45</v>
      </c>
      <c r="C21" s="18">
        <v>1.55E-2</v>
      </c>
      <c r="D21" s="32">
        <v>0</v>
      </c>
      <c r="E21" s="7"/>
    </row>
    <row r="22" spans="1:5" x14ac:dyDescent="0.2">
      <c r="A22" s="18" t="s">
        <v>11</v>
      </c>
      <c r="B22" s="19" t="s">
        <v>46</v>
      </c>
      <c r="C22" s="18">
        <v>4.2000000000000003E-2</v>
      </c>
      <c r="D22" s="32">
        <v>0</v>
      </c>
      <c r="E22" s="7"/>
    </row>
    <row r="23" spans="1:5" x14ac:dyDescent="0.2">
      <c r="A23" s="18" t="s">
        <v>11</v>
      </c>
      <c r="B23" s="19" t="s">
        <v>47</v>
      </c>
      <c r="C23" s="18">
        <v>2.7499999999999998E-3</v>
      </c>
      <c r="D23" s="32">
        <v>0</v>
      </c>
      <c r="E23" s="7"/>
    </row>
    <row r="24" spans="1:5" x14ac:dyDescent="0.2">
      <c r="A24" s="18" t="s">
        <v>11</v>
      </c>
      <c r="B24" s="19" t="s">
        <v>48</v>
      </c>
      <c r="C24" s="18">
        <v>2.7499999999999998E-3</v>
      </c>
      <c r="D24" s="32">
        <v>1.125E-2</v>
      </c>
      <c r="E24" s="7"/>
    </row>
    <row r="25" spans="1:5" x14ac:dyDescent="0.2">
      <c r="A25" s="18" t="s">
        <v>11</v>
      </c>
      <c r="B25" s="19" t="s">
        <v>49</v>
      </c>
      <c r="C25" s="18">
        <v>4.4000000000000003E-3</v>
      </c>
      <c r="D25" s="32">
        <v>1.7999999999999999E-2</v>
      </c>
      <c r="E25" s="7"/>
    </row>
    <row r="26" spans="1:5" x14ac:dyDescent="0.2">
      <c r="A26" s="18" t="s">
        <v>11</v>
      </c>
      <c r="B26" s="19" t="s">
        <v>50</v>
      </c>
      <c r="C26" s="18">
        <v>2.7499999999999998E-3</v>
      </c>
      <c r="D26" s="32">
        <v>1.125E-2</v>
      </c>
      <c r="E26" s="7"/>
    </row>
    <row r="27" spans="1:5" x14ac:dyDescent="0.2">
      <c r="A27" s="18" t="s">
        <v>11</v>
      </c>
      <c r="B27" s="19" t="s">
        <v>51</v>
      </c>
      <c r="C27" s="18">
        <v>2.7499999999999998E-3</v>
      </c>
      <c r="D27" s="32">
        <v>0</v>
      </c>
      <c r="E27" s="7"/>
    </row>
    <row r="28" spans="1:5" x14ac:dyDescent="0.2">
      <c r="A28" s="18" t="s">
        <v>11</v>
      </c>
      <c r="B28" s="19" t="s">
        <v>52</v>
      </c>
      <c r="C28" s="18">
        <v>1.7000000000000001E-2</v>
      </c>
      <c r="D28" s="32">
        <v>2.2499999999999999E-2</v>
      </c>
      <c r="E28" s="7"/>
    </row>
    <row r="29" spans="1:5" x14ac:dyDescent="0.2">
      <c r="A29" s="18" t="s">
        <v>11</v>
      </c>
      <c r="B29" s="19" t="s">
        <v>57</v>
      </c>
      <c r="C29" s="18">
        <v>2.8000000000000001E-2</v>
      </c>
      <c r="D29" s="32">
        <v>0.22500000000000001</v>
      </c>
      <c r="E29" s="7"/>
    </row>
    <row r="30" spans="1:5" x14ac:dyDescent="0.2">
      <c r="A30" s="18" t="s">
        <v>11</v>
      </c>
      <c r="B30" s="19" t="s">
        <v>60</v>
      </c>
      <c r="C30" s="18">
        <v>0.88400000000000001</v>
      </c>
      <c r="D30" s="32">
        <v>0.45</v>
      </c>
      <c r="E30" s="7"/>
    </row>
    <row r="31" spans="1:5" x14ac:dyDescent="0.2">
      <c r="A31" s="18" t="s">
        <v>11</v>
      </c>
      <c r="B31" s="19" t="s">
        <v>63</v>
      </c>
      <c r="C31" s="18">
        <v>8.5000000000000006E-3</v>
      </c>
      <c r="D31" s="32">
        <v>1.125E-2</v>
      </c>
      <c r="E31" s="7"/>
    </row>
    <row r="32" spans="1:5" x14ac:dyDescent="0.2">
      <c r="A32" s="18" t="s">
        <v>11</v>
      </c>
      <c r="B32" s="19" t="s">
        <v>64</v>
      </c>
      <c r="C32" s="18">
        <v>0</v>
      </c>
      <c r="D32" s="32">
        <v>0.315</v>
      </c>
      <c r="E32" s="7"/>
    </row>
    <row r="33" spans="1:6" x14ac:dyDescent="0.2">
      <c r="A33" s="18" t="s">
        <v>11</v>
      </c>
      <c r="B33" s="19" t="s">
        <v>68</v>
      </c>
      <c r="C33" s="18">
        <v>0</v>
      </c>
      <c r="D33" s="32">
        <v>0.315</v>
      </c>
      <c r="E33" s="7"/>
    </row>
    <row r="34" spans="1:6" x14ac:dyDescent="0.2">
      <c r="A34" s="18" t="s">
        <v>11</v>
      </c>
      <c r="B34" s="19" t="s">
        <v>69</v>
      </c>
      <c r="C34" s="18">
        <v>0.49030000000000001</v>
      </c>
      <c r="D34" s="32">
        <v>0.6</v>
      </c>
      <c r="E34" s="7"/>
    </row>
    <row r="35" spans="1:6" x14ac:dyDescent="0.2">
      <c r="A35" s="18" t="s">
        <v>11</v>
      </c>
      <c r="B35" s="19" t="s">
        <v>72</v>
      </c>
      <c r="C35" s="18">
        <v>0</v>
      </c>
      <c r="D35" s="32">
        <v>0</v>
      </c>
      <c r="E35" s="7"/>
    </row>
    <row r="36" spans="1:6" x14ac:dyDescent="0.2">
      <c r="A36" s="18" t="s">
        <v>11</v>
      </c>
      <c r="B36" s="19" t="s">
        <v>73</v>
      </c>
      <c r="C36" s="18">
        <v>0</v>
      </c>
      <c r="D36" s="32">
        <v>0</v>
      </c>
      <c r="E36" s="7"/>
    </row>
    <row r="37" spans="1:6" x14ac:dyDescent="0.2">
      <c r="A37" s="18" t="s">
        <v>11</v>
      </c>
      <c r="B37" s="19" t="s">
        <v>74</v>
      </c>
      <c r="C37" s="18">
        <v>0</v>
      </c>
      <c r="D37" s="32">
        <v>0</v>
      </c>
      <c r="E37" s="7"/>
      <c r="F37" t="s">
        <v>143</v>
      </c>
    </row>
    <row r="38" spans="1:6" x14ac:dyDescent="0.2">
      <c r="A38" s="18" t="s">
        <v>75</v>
      </c>
      <c r="B38" s="19" t="s">
        <v>76</v>
      </c>
      <c r="C38" s="23">
        <v>8.2500000000000004E-3</v>
      </c>
      <c r="D38" s="32">
        <v>0</v>
      </c>
      <c r="E38" s="7"/>
      <c r="F38">
        <f>C38/C8</f>
        <v>1.5000000000000002</v>
      </c>
    </row>
    <row r="39" spans="1:6" x14ac:dyDescent="0.2">
      <c r="A39" s="18" t="s">
        <v>75</v>
      </c>
      <c r="B39" s="19" t="s">
        <v>79</v>
      </c>
      <c r="C39" s="23">
        <v>2.325E-2</v>
      </c>
      <c r="D39" s="32">
        <v>0</v>
      </c>
      <c r="E39" s="7"/>
      <c r="F39">
        <f t="shared" ref="F39:F52" si="0">C39/C9</f>
        <v>1.5</v>
      </c>
    </row>
    <row r="40" spans="1:6" x14ac:dyDescent="0.2">
      <c r="A40" s="18" t="s">
        <v>75</v>
      </c>
      <c r="B40" s="19" t="s">
        <v>80</v>
      </c>
      <c r="C40" s="23">
        <v>6.3E-2</v>
      </c>
      <c r="D40" s="32">
        <v>0</v>
      </c>
      <c r="E40" s="7"/>
      <c r="F40">
        <f t="shared" si="0"/>
        <v>1.5</v>
      </c>
    </row>
    <row r="41" spans="1:6" x14ac:dyDescent="0.2">
      <c r="A41" s="18" t="s">
        <v>75</v>
      </c>
      <c r="B41" s="19" t="s">
        <v>81</v>
      </c>
      <c r="C41" s="23">
        <v>8.2500000000000004E-3</v>
      </c>
      <c r="D41" s="32">
        <v>0</v>
      </c>
      <c r="E41" s="7"/>
      <c r="F41">
        <f t="shared" si="0"/>
        <v>1.5000000000000002</v>
      </c>
    </row>
    <row r="42" spans="1:6" x14ac:dyDescent="0.2">
      <c r="A42" s="18" t="s">
        <v>75</v>
      </c>
      <c r="B42" s="19" t="s">
        <v>82</v>
      </c>
      <c r="C42" s="23">
        <v>0.16350000000000001</v>
      </c>
      <c r="D42" s="32">
        <v>0</v>
      </c>
      <c r="E42" s="7"/>
      <c r="F42">
        <f t="shared" si="0"/>
        <v>1.5</v>
      </c>
    </row>
    <row r="43" spans="1:6" x14ac:dyDescent="0.2">
      <c r="A43" s="18" t="s">
        <v>75</v>
      </c>
      <c r="B43" s="19" t="s">
        <v>83</v>
      </c>
      <c r="C43" s="23">
        <v>0.62324999999999997</v>
      </c>
      <c r="D43" s="32">
        <v>0</v>
      </c>
      <c r="E43" s="7"/>
      <c r="F43">
        <f t="shared" si="0"/>
        <v>1.5</v>
      </c>
    </row>
    <row r="44" spans="1:6" x14ac:dyDescent="0.2">
      <c r="A44" s="18" t="s">
        <v>75</v>
      </c>
      <c r="B44" s="19" t="s">
        <v>84</v>
      </c>
      <c r="C44" s="23">
        <v>1.32E-2</v>
      </c>
      <c r="D44" s="32">
        <v>0</v>
      </c>
      <c r="E44" s="7"/>
      <c r="F44">
        <f t="shared" si="0"/>
        <v>1.5</v>
      </c>
    </row>
    <row r="45" spans="1:6" x14ac:dyDescent="0.2">
      <c r="A45" s="18" t="s">
        <v>75</v>
      </c>
      <c r="B45" s="19" t="s">
        <v>85</v>
      </c>
      <c r="C45" s="23">
        <v>0.2616</v>
      </c>
      <c r="D45" s="32">
        <v>0</v>
      </c>
      <c r="E45" s="7"/>
      <c r="F45">
        <f t="shared" si="0"/>
        <v>1.5</v>
      </c>
    </row>
    <row r="46" spans="1:6" x14ac:dyDescent="0.2">
      <c r="A46" s="18" t="s">
        <v>75</v>
      </c>
      <c r="B46" s="19" t="s">
        <v>86</v>
      </c>
      <c r="C46" s="23">
        <v>0.99719999999999986</v>
      </c>
      <c r="D46" s="32">
        <v>0</v>
      </c>
      <c r="E46" s="7"/>
      <c r="F46">
        <f t="shared" si="0"/>
        <v>1.5</v>
      </c>
    </row>
    <row r="47" spans="1:6" x14ac:dyDescent="0.2">
      <c r="A47" s="18" t="s">
        <v>75</v>
      </c>
      <c r="B47" s="19" t="s">
        <v>87</v>
      </c>
      <c r="C47" s="23">
        <v>8.2500000000000004E-3</v>
      </c>
      <c r="D47" s="32">
        <v>0</v>
      </c>
      <c r="E47" s="7"/>
      <c r="F47">
        <f t="shared" si="0"/>
        <v>1.5000000000000002</v>
      </c>
    </row>
    <row r="48" spans="1:6" x14ac:dyDescent="0.2">
      <c r="A48" s="18" t="s">
        <v>75</v>
      </c>
      <c r="B48" s="19" t="s">
        <v>88</v>
      </c>
      <c r="C48" s="23">
        <v>0.16350000000000001</v>
      </c>
      <c r="D48" s="32">
        <v>0</v>
      </c>
      <c r="E48" s="7"/>
      <c r="F48">
        <f t="shared" si="0"/>
        <v>1.5</v>
      </c>
    </row>
    <row r="49" spans="1:6" x14ac:dyDescent="0.2">
      <c r="A49" s="18" t="s">
        <v>75</v>
      </c>
      <c r="B49" s="19" t="s">
        <v>89</v>
      </c>
      <c r="C49" s="23">
        <v>0.62324999999999997</v>
      </c>
      <c r="D49" s="32">
        <v>0</v>
      </c>
      <c r="E49" s="7"/>
      <c r="F49">
        <f t="shared" si="0"/>
        <v>1.5</v>
      </c>
    </row>
    <row r="50" spans="1:6" x14ac:dyDescent="0.2">
      <c r="A50" s="18" t="s">
        <v>75</v>
      </c>
      <c r="B50" s="19" t="s">
        <v>90</v>
      </c>
      <c r="C50" s="23">
        <v>8.2500000000000004E-3</v>
      </c>
      <c r="D50" s="32">
        <v>0</v>
      </c>
      <c r="E50" s="7"/>
      <c r="F50">
        <f t="shared" si="0"/>
        <v>1.5000000000000002</v>
      </c>
    </row>
    <row r="51" spans="1:6" x14ac:dyDescent="0.2">
      <c r="A51" s="18" t="s">
        <v>75</v>
      </c>
      <c r="B51" s="19" t="s">
        <v>91</v>
      </c>
      <c r="C51" s="23">
        <v>2.325E-2</v>
      </c>
      <c r="D51" s="32">
        <v>0</v>
      </c>
      <c r="E51" s="7"/>
      <c r="F51">
        <f t="shared" si="0"/>
        <v>1.5</v>
      </c>
    </row>
    <row r="52" spans="1:6" x14ac:dyDescent="0.2">
      <c r="A52" s="18" t="s">
        <v>75</v>
      </c>
      <c r="B52" s="19" t="s">
        <v>92</v>
      </c>
      <c r="C52" s="23">
        <v>6.3E-2</v>
      </c>
      <c r="D52" s="32">
        <v>0</v>
      </c>
      <c r="E52" s="7"/>
      <c r="F52">
        <f t="shared" si="0"/>
        <v>1.5</v>
      </c>
    </row>
    <row r="53" spans="1:6" x14ac:dyDescent="0.2">
      <c r="A53" s="18" t="s">
        <v>75</v>
      </c>
      <c r="B53" s="19" t="s">
        <v>93</v>
      </c>
      <c r="C53" s="18">
        <v>0</v>
      </c>
      <c r="D53" s="32">
        <v>0</v>
      </c>
      <c r="E53" s="7"/>
    </row>
    <row r="54" spans="1:6" x14ac:dyDescent="0.2">
      <c r="A54" s="18" t="s">
        <v>75</v>
      </c>
      <c r="B54" s="19" t="s">
        <v>94</v>
      </c>
      <c r="C54" s="18">
        <v>0</v>
      </c>
      <c r="D54" s="32">
        <v>0</v>
      </c>
      <c r="E54" s="7"/>
    </row>
    <row r="55" spans="1:6" x14ac:dyDescent="0.2">
      <c r="A55" s="18" t="s">
        <v>75</v>
      </c>
      <c r="B55" s="19" t="s">
        <v>95</v>
      </c>
      <c r="C55" s="18">
        <v>0</v>
      </c>
      <c r="D55" s="32">
        <v>0</v>
      </c>
      <c r="E55" s="7"/>
    </row>
    <row r="56" spans="1:6" x14ac:dyDescent="0.2">
      <c r="A56" s="18" t="s">
        <v>75</v>
      </c>
      <c r="B56" s="19" t="s">
        <v>96</v>
      </c>
      <c r="C56" s="18">
        <v>0</v>
      </c>
      <c r="D56" s="32">
        <v>0</v>
      </c>
      <c r="E56" s="7"/>
    </row>
    <row r="57" spans="1:6" x14ac:dyDescent="0.2">
      <c r="A57" s="18" t="s">
        <v>75</v>
      </c>
      <c r="B57" s="19" t="s">
        <v>97</v>
      </c>
      <c r="C57" s="18">
        <v>0</v>
      </c>
      <c r="D57" s="32">
        <v>0</v>
      </c>
      <c r="E57" s="7"/>
    </row>
    <row r="58" spans="1:6" x14ac:dyDescent="0.2">
      <c r="A58" s="18" t="s">
        <v>75</v>
      </c>
      <c r="B58" s="19" t="s">
        <v>98</v>
      </c>
      <c r="C58" s="18">
        <v>0</v>
      </c>
      <c r="D58" s="32">
        <v>0</v>
      </c>
      <c r="E58" s="7"/>
    </row>
    <row r="59" spans="1:6" x14ac:dyDescent="0.2">
      <c r="A59" s="18" t="s">
        <v>75</v>
      </c>
      <c r="B59" s="19" t="s">
        <v>99</v>
      </c>
      <c r="C59" s="18">
        <v>0</v>
      </c>
      <c r="D59" s="32">
        <v>0</v>
      </c>
      <c r="E59" s="7"/>
    </row>
    <row r="60" spans="1:6" x14ac:dyDescent="0.2">
      <c r="A60" s="18" t="s">
        <v>75</v>
      </c>
      <c r="B60" s="19" t="s">
        <v>100</v>
      </c>
      <c r="C60" s="18">
        <v>0</v>
      </c>
      <c r="D60" s="32">
        <v>0</v>
      </c>
      <c r="E60" s="7"/>
    </row>
    <row r="61" spans="1:6" x14ac:dyDescent="0.2">
      <c r="A61" s="18" t="s">
        <v>75</v>
      </c>
      <c r="B61" s="19" t="s">
        <v>101</v>
      </c>
      <c r="C61" s="18">
        <v>0</v>
      </c>
      <c r="D61" s="32">
        <v>0</v>
      </c>
      <c r="E61" s="7"/>
    </row>
    <row r="62" spans="1:6" x14ac:dyDescent="0.2">
      <c r="A62" s="18" t="s">
        <v>75</v>
      </c>
      <c r="B62" s="19" t="s">
        <v>102</v>
      </c>
      <c r="C62" s="18">
        <v>0</v>
      </c>
      <c r="D62" s="32">
        <v>0</v>
      </c>
      <c r="E62" s="7"/>
    </row>
    <row r="63" spans="1:6" x14ac:dyDescent="0.2">
      <c r="A63" s="18" t="s">
        <v>75</v>
      </c>
      <c r="B63" s="19" t="s">
        <v>103</v>
      </c>
      <c r="C63" s="18">
        <v>0</v>
      </c>
      <c r="D63" s="32">
        <v>0</v>
      </c>
      <c r="E63" s="7"/>
    </row>
    <row r="64" spans="1:6" x14ac:dyDescent="0.2">
      <c r="A64" s="18" t="s">
        <v>75</v>
      </c>
      <c r="B64" s="19" t="s">
        <v>104</v>
      </c>
      <c r="C64" s="18">
        <v>0</v>
      </c>
      <c r="D64" s="32">
        <v>0</v>
      </c>
      <c r="E64" s="7"/>
    </row>
    <row r="65" spans="1:5" x14ac:dyDescent="0.2">
      <c r="A65" s="18" t="s">
        <v>75</v>
      </c>
      <c r="B65" s="19" t="s">
        <v>105</v>
      </c>
      <c r="C65" s="18">
        <v>0</v>
      </c>
      <c r="D65" s="32">
        <v>0</v>
      </c>
      <c r="E65" s="7"/>
    </row>
    <row r="66" spans="1:5" x14ac:dyDescent="0.2">
      <c r="A66" s="18" t="s">
        <v>75</v>
      </c>
      <c r="B66" s="19" t="s">
        <v>106</v>
      </c>
      <c r="C66" s="18">
        <v>0</v>
      </c>
      <c r="D66" s="32">
        <v>0</v>
      </c>
      <c r="E66" s="7"/>
    </row>
    <row r="67" spans="1:5" x14ac:dyDescent="0.2">
      <c r="A67" s="18" t="s">
        <v>75</v>
      </c>
      <c r="B67" s="19" t="s">
        <v>107</v>
      </c>
      <c r="C67" s="18">
        <v>0</v>
      </c>
      <c r="D67" s="32">
        <v>0</v>
      </c>
      <c r="E67" s="7"/>
    </row>
    <row r="68" spans="1:5" x14ac:dyDescent="0.2">
      <c r="A68" s="18" t="s">
        <v>75</v>
      </c>
      <c r="B68" s="19" t="s">
        <v>108</v>
      </c>
      <c r="C68" s="18">
        <v>0.49030000000000001</v>
      </c>
      <c r="D68" s="32">
        <v>0</v>
      </c>
      <c r="E68" s="7"/>
    </row>
    <row r="69" spans="1:5" x14ac:dyDescent="0.2">
      <c r="A69" s="18" t="s">
        <v>75</v>
      </c>
      <c r="B69" s="19" t="s">
        <v>110</v>
      </c>
      <c r="C69" s="18">
        <v>1.2E-2</v>
      </c>
      <c r="D69" s="32">
        <v>0</v>
      </c>
      <c r="E69" s="7"/>
    </row>
    <row r="70" spans="1:5" x14ac:dyDescent="0.2">
      <c r="A70" s="18" t="s">
        <v>112</v>
      </c>
      <c r="B70" s="19" t="s">
        <v>113</v>
      </c>
      <c r="C70" s="18">
        <v>0</v>
      </c>
      <c r="D70" s="32">
        <v>0</v>
      </c>
      <c r="E70" s="7"/>
    </row>
    <row r="71" spans="1:5" x14ac:dyDescent="0.2">
      <c r="A71" s="18" t="s">
        <v>112</v>
      </c>
      <c r="B71" s="19" t="s">
        <v>114</v>
      </c>
      <c r="C71" s="18">
        <v>0</v>
      </c>
      <c r="D71" s="32">
        <v>2.2499999999999999E-2</v>
      </c>
      <c r="E71" s="7"/>
    </row>
    <row r="72" spans="1:5" x14ac:dyDescent="0.2">
      <c r="A72" s="18" t="s">
        <v>112</v>
      </c>
      <c r="B72" s="19" t="s">
        <v>118</v>
      </c>
      <c r="C72" s="18">
        <v>0</v>
      </c>
      <c r="D72" s="32">
        <v>0.22500000000000001</v>
      </c>
      <c r="E72" s="7"/>
    </row>
    <row r="73" spans="1:5" x14ac:dyDescent="0.2">
      <c r="A73" s="18" t="s">
        <v>112</v>
      </c>
      <c r="B73" s="19" t="s">
        <v>120</v>
      </c>
      <c r="C73" s="18">
        <v>0</v>
      </c>
      <c r="D73" s="32">
        <v>0.45</v>
      </c>
      <c r="E73" s="7"/>
    </row>
    <row r="74" spans="1:5" x14ac:dyDescent="0.2">
      <c r="A74" s="18" t="s">
        <v>112</v>
      </c>
      <c r="B74" s="19" t="s">
        <v>122</v>
      </c>
      <c r="C74" s="18">
        <v>0</v>
      </c>
      <c r="D74" s="32">
        <v>0.1125</v>
      </c>
      <c r="E74" s="7"/>
    </row>
    <row r="75" spans="1:5" x14ac:dyDescent="0.2">
      <c r="A75" s="18" t="s">
        <v>112</v>
      </c>
      <c r="B75" s="19" t="s">
        <v>124</v>
      </c>
      <c r="C75" s="18">
        <v>0</v>
      </c>
      <c r="D75" s="32">
        <v>0.16875000000000001</v>
      </c>
      <c r="E75" s="7"/>
    </row>
    <row r="76" spans="1:5" x14ac:dyDescent="0.2">
      <c r="A76" s="18" t="s">
        <v>112</v>
      </c>
      <c r="B76" s="19" t="s">
        <v>126</v>
      </c>
      <c r="C76" s="18">
        <v>0</v>
      </c>
      <c r="D76" s="32">
        <v>0.22500000000000001</v>
      </c>
      <c r="E76" s="7"/>
    </row>
    <row r="77" spans="1:5" x14ac:dyDescent="0.2">
      <c r="A77" s="18" t="s">
        <v>112</v>
      </c>
      <c r="B77" s="19" t="s">
        <v>128</v>
      </c>
      <c r="C77" s="18">
        <v>0</v>
      </c>
      <c r="D77" s="32">
        <v>0.1125</v>
      </c>
      <c r="E77" s="7"/>
    </row>
    <row r="78" spans="1:5" x14ac:dyDescent="0.2">
      <c r="A78" s="18" t="s">
        <v>112</v>
      </c>
      <c r="B78" s="19" t="s">
        <v>129</v>
      </c>
      <c r="C78" s="18">
        <v>0</v>
      </c>
      <c r="D78" s="32">
        <v>0.16875000000000001</v>
      </c>
      <c r="E78" s="7"/>
    </row>
    <row r="79" spans="1:5" x14ac:dyDescent="0.2">
      <c r="A79" s="18" t="s">
        <v>112</v>
      </c>
      <c r="B79" s="19" t="s">
        <v>130</v>
      </c>
      <c r="C79" s="18">
        <v>0</v>
      </c>
      <c r="D79" s="32">
        <v>0.22500000000000001</v>
      </c>
      <c r="E79" s="7"/>
    </row>
    <row r="80" spans="1:5" x14ac:dyDescent="0.2">
      <c r="A80" s="18" t="s">
        <v>112</v>
      </c>
      <c r="B80" s="19" t="s">
        <v>131</v>
      </c>
      <c r="C80" s="18">
        <v>0</v>
      </c>
      <c r="D80" s="32">
        <v>0</v>
      </c>
      <c r="E80" s="7"/>
    </row>
    <row r="81" spans="1:5" x14ac:dyDescent="0.2">
      <c r="A81" s="18" t="s">
        <v>112</v>
      </c>
      <c r="B81" s="19" t="s">
        <v>132</v>
      </c>
      <c r="C81" s="18">
        <v>0</v>
      </c>
      <c r="D81" s="32">
        <v>0</v>
      </c>
      <c r="E81" s="7"/>
    </row>
    <row r="82" spans="1:5" x14ac:dyDescent="0.2">
      <c r="A82" s="18" t="s">
        <v>112</v>
      </c>
      <c r="B82" s="19" t="s">
        <v>133</v>
      </c>
      <c r="C82" s="18">
        <v>0</v>
      </c>
      <c r="D82" s="32">
        <v>0</v>
      </c>
      <c r="E82" s="7"/>
    </row>
    <row r="83" spans="1:5" x14ac:dyDescent="0.2">
      <c r="A83" s="18" t="s">
        <v>112</v>
      </c>
      <c r="B83" s="19" t="s">
        <v>134</v>
      </c>
      <c r="C83" s="18">
        <v>0</v>
      </c>
      <c r="D83" s="32">
        <v>0.15</v>
      </c>
      <c r="E83" s="7"/>
    </row>
    <row r="84" spans="1:5" x14ac:dyDescent="0.2">
      <c r="A84" s="18" t="s">
        <v>112</v>
      </c>
      <c r="B84" s="19" t="s">
        <v>138</v>
      </c>
      <c r="C84" s="18">
        <v>0</v>
      </c>
      <c r="D84" s="32">
        <v>0.4</v>
      </c>
      <c r="E84" s="7"/>
    </row>
    <row r="85" spans="1:5" x14ac:dyDescent="0.2">
      <c r="A85" s="18" t="s">
        <v>112</v>
      </c>
      <c r="B85" s="19" t="s">
        <v>139</v>
      </c>
      <c r="C85" s="18">
        <v>0</v>
      </c>
      <c r="D85" s="32">
        <v>0.6</v>
      </c>
      <c r="E85" s="7"/>
    </row>
    <row r="86" spans="1:5" x14ac:dyDescent="0.2">
      <c r="A86" s="18" t="s">
        <v>112</v>
      </c>
      <c r="B86" s="19" t="s">
        <v>140</v>
      </c>
      <c r="C86" s="18">
        <v>0</v>
      </c>
      <c r="D86" s="32">
        <v>0</v>
      </c>
      <c r="E86" s="7"/>
    </row>
    <row r="87" spans="1:5" ht="17" thickBot="1" x14ac:dyDescent="0.25">
      <c r="A87" s="24" t="s">
        <v>112</v>
      </c>
      <c r="B87" s="25" t="s">
        <v>141</v>
      </c>
      <c r="C87" s="24">
        <v>0</v>
      </c>
      <c r="D87" s="33">
        <v>0.6</v>
      </c>
      <c r="E87" s="7"/>
    </row>
  </sheetData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Version7</vt:lpstr>
      <vt:lpstr>Version7 (2)</vt:lpstr>
      <vt:lpstr>Flexible</vt:lpstr>
      <vt:lpstr>Rigid</vt:lpstr>
      <vt:lpstr>PD-AD-HMA</vt:lpstr>
      <vt:lpstr>PD-AD-RIGID</vt:lpstr>
      <vt:lpstr>final-summary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Kutay, Muhammed</cp:lastModifiedBy>
  <cp:revision/>
  <dcterms:created xsi:type="dcterms:W3CDTF">2025-03-02T20:50:54Z</dcterms:created>
  <dcterms:modified xsi:type="dcterms:W3CDTF">2025-05-19T15:52:20Z</dcterms:modified>
  <cp:category/>
  <cp:contentStatus/>
</cp:coreProperties>
</file>